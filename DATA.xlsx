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NN\Documents\SNN\Yapay Zeka Çalışmaları\Global Hedef Web Platform\"/>
    </mc:Choice>
  </mc:AlternateContent>
  <xr:revisionPtr revIDLastSave="0" documentId="13_ncr:1_{A785090B-8535-42F0-A949-50A593109DD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yfa1" sheetId="1" r:id="rId1"/>
  </sheets>
  <definedNames>
    <definedName name="_xlnm._FilterDatabase" localSheetId="0" hidden="1">Sayfa1!$A$1:$N$312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5" i="1" l="1"/>
  <c r="L281" i="1"/>
  <c r="L17" i="1"/>
  <c r="L269" i="1"/>
  <c r="L259" i="1"/>
  <c r="L238" i="1"/>
  <c r="L11" i="1"/>
  <c r="L220" i="1"/>
  <c r="L145" i="1"/>
  <c r="L135" i="1"/>
  <c r="L134" i="1"/>
  <c r="L122" i="1"/>
  <c r="L114" i="1"/>
  <c r="L111" i="1"/>
  <c r="L108" i="1"/>
  <c r="L105" i="1"/>
  <c r="L74" i="1"/>
  <c r="L75" i="1"/>
  <c r="L69" i="1"/>
  <c r="L28" i="1"/>
  <c r="L32" i="1"/>
  <c r="L31" i="1"/>
  <c r="L277" i="1"/>
</calcChain>
</file>

<file path=xl/sharedStrings.xml><?xml version="1.0" encoding="utf-8"?>
<sst xmlns="http://schemas.openxmlformats.org/spreadsheetml/2006/main" count="2036" uniqueCount="505">
  <si>
    <t>MÜŞTERİ</t>
  </si>
  <si>
    <t>TCKN</t>
  </si>
  <si>
    <t>CEP TEL</t>
  </si>
  <si>
    <t>POLİÇE TÜRÜ</t>
  </si>
  <si>
    <t>POLİÇE NUMARASI</t>
  </si>
  <si>
    <t>POLİÇE BAŞLANGIÇ</t>
  </si>
  <si>
    <t>POLİÇE BİTİŞ</t>
  </si>
  <si>
    <t>PLAKA</t>
  </si>
  <si>
    <t>PRİM</t>
  </si>
  <si>
    <t>SATIŞÇI</t>
  </si>
  <si>
    <t>KOMİSYON</t>
  </si>
  <si>
    <t>ŞİRKET</t>
  </si>
  <si>
    <t>AÇIKLAMA</t>
  </si>
  <si>
    <t xml:space="preserve">MİRALAY MADENCİLİK </t>
  </si>
  <si>
    <t>TRAFİK</t>
  </si>
  <si>
    <t>POTANSİYEL</t>
  </si>
  <si>
    <t>54 AJY 611</t>
  </si>
  <si>
    <t>EUREKO</t>
  </si>
  <si>
    <t>FATMA ATEŞ</t>
  </si>
  <si>
    <t>54 AID 123</t>
  </si>
  <si>
    <t>ETHICA</t>
  </si>
  <si>
    <t>ONUR TANIDIK 10.10.1985</t>
  </si>
  <si>
    <t>AKYURT PERSONEL</t>
  </si>
  <si>
    <t>06 FL 0360</t>
  </si>
  <si>
    <t>BEREKET</t>
  </si>
  <si>
    <t xml:space="preserve">ONUR </t>
  </si>
  <si>
    <t xml:space="preserve">BABAİŞ İNŞAAT </t>
  </si>
  <si>
    <t>54 RB 228</t>
  </si>
  <si>
    <t>MÜRSEL DEMİRER</t>
  </si>
  <si>
    <t>34 DG 3494</t>
  </si>
  <si>
    <t>ANADOLU</t>
  </si>
  <si>
    <t xml:space="preserve">kapı müşterisi </t>
  </si>
  <si>
    <t>YAŞAR KEMAL KIROĞLU</t>
  </si>
  <si>
    <t>54 AFP 251</t>
  </si>
  <si>
    <t>AXA</t>
  </si>
  <si>
    <t>yılgenci sinan müşterisi</t>
  </si>
  <si>
    <t>HAYRETTİN SEZER</t>
  </si>
  <si>
    <t>YURTDIŞI SEYAHAT</t>
  </si>
  <si>
    <t>HEPİYİ</t>
  </si>
  <si>
    <t>BARIŞ UÇAK</t>
  </si>
  <si>
    <t>54 SJ 425</t>
  </si>
  <si>
    <t>SEZERLER HAFRİYAT</t>
  </si>
  <si>
    <t>54 B 1477</t>
  </si>
  <si>
    <t>LALE ALAŞAHİN ÖZKURT</t>
  </si>
  <si>
    <t>54 ALA 113</t>
  </si>
  <si>
    <t>RAY</t>
  </si>
  <si>
    <t>HASİBE NAZLI AĞAR</t>
  </si>
  <si>
    <t>34 TR 9730</t>
  </si>
  <si>
    <t>AK</t>
  </si>
  <si>
    <t>DİDEM hanım yönlendirdi 21.02.1985</t>
  </si>
  <si>
    <t>KASKO</t>
  </si>
  <si>
    <t xml:space="preserve"> 54 AJV 400</t>
  </si>
  <si>
    <t>DOĞA</t>
  </si>
  <si>
    <t>/TELEFON ASLIHAN ÖZTÜRK BERK</t>
  </si>
  <si>
    <t xml:space="preserve">ERDEM ÖZÇELİK </t>
  </si>
  <si>
    <t>ALPEREN ÖZDEN</t>
  </si>
  <si>
    <t>TSS</t>
  </si>
  <si>
    <t>ACIBADEM</t>
  </si>
  <si>
    <t>BÜLENT ÖZDEN 51613452984</t>
  </si>
  <si>
    <t>ARDA ÖZDEN</t>
  </si>
  <si>
    <t>DASK</t>
  </si>
  <si>
    <t>CORPUS</t>
  </si>
  <si>
    <t>UAVT 3183741671 // ŞİRKET 111179337</t>
  </si>
  <si>
    <t>GÜLÜZAR SÜNBÜL</t>
  </si>
  <si>
    <t>QUICK</t>
  </si>
  <si>
    <t xml:space="preserve">engin cebeci kart </t>
  </si>
  <si>
    <t>34 GCS 862</t>
  </si>
  <si>
    <t>5440 7806 1236 0010   04/25  358   05.09.1992</t>
  </si>
  <si>
    <t>PERT KASKO</t>
  </si>
  <si>
    <t>TOPAÇ DEMİR ÇELİK</t>
  </si>
  <si>
    <t>54 TP 776</t>
  </si>
  <si>
    <t>SOMPO</t>
  </si>
  <si>
    <t>HASAN SÜNBÜL</t>
  </si>
  <si>
    <t>54 AGM 001</t>
  </si>
  <si>
    <t>NEOVA</t>
  </si>
  <si>
    <t>54 AKA 599</t>
  </si>
  <si>
    <t xml:space="preserve">SAFFETİN YÜKSEL </t>
  </si>
  <si>
    <t>06 EYY 014</t>
  </si>
  <si>
    <t>FARUK COŞKUN KART ÇEKİLDİ 5407 0969 8001 7012 08/28  201</t>
  </si>
  <si>
    <t xml:space="preserve">KADRİYE ÜNAL </t>
  </si>
  <si>
    <t>54 AL 282</t>
  </si>
  <si>
    <t xml:space="preserve">ATILIM DANIŞMANLIK </t>
  </si>
  <si>
    <t>54 BC 514</t>
  </si>
  <si>
    <t>ZEKAİ BEY</t>
  </si>
  <si>
    <t>GÜL MENTEŞE</t>
  </si>
  <si>
    <t>11 AAU 629</t>
  </si>
  <si>
    <t xml:space="preserve">ERDOĞAN ABİ TANIDIK ONUN KARTINDAN ÇEKİLDİ  01.05.1975 </t>
  </si>
  <si>
    <t>ERDOĞAN ABİ TANIDIK 01.05.1975</t>
  </si>
  <si>
    <t>GÜLSÜM SEZER AKAR</t>
  </si>
  <si>
    <t>54 BS 298</t>
  </si>
  <si>
    <t>ABDULLAH YAMAK</t>
  </si>
  <si>
    <t xml:space="preserve">
2851951</t>
  </si>
  <si>
    <t>54 AJL 510</t>
  </si>
  <si>
    <t>5331690289091016 03/27 142</t>
  </si>
  <si>
    <t>54 AJJ 273</t>
  </si>
  <si>
    <t>54 AJJ271</t>
  </si>
  <si>
    <t>MERVE ZAİM</t>
  </si>
  <si>
    <t xml:space="preserve">CORPUS </t>
  </si>
  <si>
    <t>5101 5215 1752 3579   01/26  118 MERVE ZAİM  05.04.1990 şirket 112920296</t>
  </si>
  <si>
    <t>İSTANBUL GROUP</t>
  </si>
  <si>
    <t>34 KKU 844</t>
  </si>
  <si>
    <t>34 ERV 201</t>
  </si>
  <si>
    <t>5549605489341027    03/26   754   15.08.1988</t>
  </si>
  <si>
    <t>RECEP ÜNAL / 21082244182</t>
  </si>
  <si>
    <t>ERDOĞAN KANLI</t>
  </si>
  <si>
    <t>34DHY382</t>
  </si>
  <si>
    <t>FİLİZ ŞAHİN</t>
  </si>
  <si>
    <t>54 AKD 037</t>
  </si>
  <si>
    <t>ALLIANZ</t>
  </si>
  <si>
    <t>SANDIKÇILAR</t>
  </si>
  <si>
    <t>BAYRAM ÖZGÜRBÜZ</t>
  </si>
  <si>
    <t>ŞİRKET 113224182</t>
  </si>
  <si>
    <t>ÖSS</t>
  </si>
  <si>
    <t>2 YIL KOMİSYON YOK</t>
  </si>
  <si>
    <t>SEZERLER KGN</t>
  </si>
  <si>
    <t>54 BT 175</t>
  </si>
  <si>
    <t>TÜRKİYE</t>
  </si>
  <si>
    <t>VİZYON SİGORTA</t>
  </si>
  <si>
    <t>54 BT 178</t>
  </si>
  <si>
    <t>54 BT 176</t>
  </si>
  <si>
    <t>54 BT 177</t>
  </si>
  <si>
    <t>54 BT 179</t>
  </si>
  <si>
    <t>54 BT 180</t>
  </si>
  <si>
    <t>54 ZV 789</t>
  </si>
  <si>
    <t>MİRALAY MADENCİLİK</t>
  </si>
  <si>
    <t>54 D 5583</t>
  </si>
  <si>
    <t>54 D 5584</t>
  </si>
  <si>
    <t>54 ZV 790</t>
  </si>
  <si>
    <t>54 EM 762</t>
  </si>
  <si>
    <t>54 ZA 489</t>
  </si>
  <si>
    <t>54 AGJ 587</t>
  </si>
  <si>
    <t xml:space="preserve">MERVE ÇEBİ </t>
  </si>
  <si>
    <t xml:space="preserve">DASK </t>
  </si>
  <si>
    <t>ONUR yönlendirdi TALİP  vahit akpek minimalist karttından ödendi ŞİRKET POL 113664339</t>
  </si>
  <si>
    <t xml:space="preserve">MERVE ZAİM </t>
  </si>
  <si>
    <t xml:space="preserve">İBRAHİM AKYOL </t>
  </si>
  <si>
    <t>54 AGL 017</t>
  </si>
  <si>
    <t>HDI</t>
  </si>
  <si>
    <t>AV MAHMUT BEY değer kaybı arkadaşı 5457153354</t>
  </si>
  <si>
    <t>NESİBE YARAŞ</t>
  </si>
  <si>
    <t>14 BU 757</t>
  </si>
  <si>
    <t>tali şube BİZİM KARTTAN ÇEKİLDİ ZEKAYİ BEY</t>
  </si>
  <si>
    <t>TURGUT AYDÖN</t>
  </si>
  <si>
    <t>5378293880464015/03.27 / 660 /Şirket 113900867</t>
  </si>
  <si>
    <t>5378293880464015/03.27 / 660 /Şirket 113902030</t>
  </si>
  <si>
    <t>ABDULLAH AYDÖN</t>
  </si>
  <si>
    <t>5378293880464015/03.27 / 660 /Şirket 113903212</t>
  </si>
  <si>
    <t>TURGAY AYDÖN</t>
  </si>
  <si>
    <t xml:space="preserve">5378293880464015/03.27 / 660  /Şirket 113902429 </t>
  </si>
  <si>
    <t>ZEHRA SEZER</t>
  </si>
  <si>
    <t>/Şirket 95235328</t>
  </si>
  <si>
    <t>Şirket 114450924</t>
  </si>
  <si>
    <t>54 AEM 814</t>
  </si>
  <si>
    <t>HACIOSMANOĞULLARI</t>
  </si>
  <si>
    <t>54 TS 188</t>
  </si>
  <si>
    <t>OUICK</t>
  </si>
  <si>
    <t xml:space="preserve">NURETTİN ONUR ÜNAL </t>
  </si>
  <si>
    <t>10.03.1988 onur</t>
  </si>
  <si>
    <t xml:space="preserve">HACI ÖMER SEYHAN </t>
  </si>
  <si>
    <t>54 AHR 736</t>
  </si>
  <si>
    <t>MÜGE BETÜL BIYIK</t>
  </si>
  <si>
    <t>34 NL 0266</t>
  </si>
  <si>
    <t>05.06.1991 ANADOLU HAYATÇI ELİF yönlendirdi</t>
  </si>
  <si>
    <t>ERGÜN ARI</t>
  </si>
  <si>
    <t>54 AFB 784</t>
  </si>
  <si>
    <t>MAGDEBURGER</t>
  </si>
  <si>
    <t xml:space="preserve">TRAFİK </t>
  </si>
  <si>
    <t>TURGAY ABİ TANIDIK 04.05.1971</t>
  </si>
  <si>
    <t>MEHMET ALİ ÇELİKTEN</t>
  </si>
  <si>
    <t>HÜLYA HOCA EV PLATES / Şirket 114711690</t>
  </si>
  <si>
    <t xml:space="preserve">SİNAN İPEK </t>
  </si>
  <si>
    <t>54 ALN 766</t>
  </si>
  <si>
    <t>KURTKÖY SPOR KULUBÜ</t>
  </si>
  <si>
    <t>54 SE 284</t>
  </si>
  <si>
    <t xml:space="preserve">ENVER NADİR COŞAR </t>
  </si>
  <si>
    <t>34 CPY 600</t>
  </si>
  <si>
    <t>TUĞÇE ŞAHİN</t>
  </si>
  <si>
    <t>HEKİM SORUMLULUK</t>
  </si>
  <si>
    <t>anesteziyoloji ve reanimazyon / Dip no: 171658 /mezuniyet 2014/ yıllık hasta 500( tescil türü 1 / tescil no: 171658 / tescil tarihi 14.07.2014 / asistan mı hayır</t>
  </si>
  <si>
    <t>ERDAL YILDIRIM</t>
  </si>
  <si>
    <t>5200 1701 9310 2017  02/29  614</t>
  </si>
  <si>
    <t xml:space="preserve">MUSTAFA AKAR </t>
  </si>
  <si>
    <t>54 AKG 740</t>
  </si>
  <si>
    <t xml:space="preserve">İBRAHİM ÖZGÜRBÜZ </t>
  </si>
  <si>
    <t xml:space="preserve">5400 6370 1238 3778  11/26  684   --- 115976148 ŞİRKET </t>
  </si>
  <si>
    <t>HAMİYET ÖZGÜRBÜZ</t>
  </si>
  <si>
    <t xml:space="preserve">116037937 ŞİRKET </t>
  </si>
  <si>
    <t>SİNAN İPEK</t>
  </si>
  <si>
    <t>KONUT</t>
  </si>
  <si>
    <t>KOMSİYON ORANI%25</t>
  </si>
  <si>
    <t>HATİCE ÖĞÜNÇ</t>
  </si>
  <si>
    <t xml:space="preserve">116058666 ŞİRKET </t>
  </si>
  <si>
    <t>KERİME ÖĞÜNÇ</t>
  </si>
  <si>
    <t>116059668 ŞİRKET</t>
  </si>
  <si>
    <t>116058895 ŞİRKET</t>
  </si>
  <si>
    <t>54 B 3810</t>
  </si>
  <si>
    <t>TÜRKİYE SİGORTA VİZYON</t>
  </si>
  <si>
    <t>AMIR FARZBOOD</t>
  </si>
  <si>
    <t>34FYA260</t>
  </si>
  <si>
    <t>54 BB 606</t>
  </si>
  <si>
    <t>VİZYON</t>
  </si>
  <si>
    <t>MURAT ALPER KİŞİOĞLU</t>
  </si>
  <si>
    <t xml:space="preserve">bizim kart ile kesildi </t>
  </si>
  <si>
    <t>İSMAİL ŞENTÜRK</t>
  </si>
  <si>
    <t>34 VPT 77</t>
  </si>
  <si>
    <t>5269 1101 1905 6895 10/2029  824   24.06.1987</t>
  </si>
  <si>
    <t xml:space="preserve">BARIŞ UZEL </t>
  </si>
  <si>
    <t>06 DNM 541</t>
  </si>
  <si>
    <t xml:space="preserve">EMEL İPEK </t>
  </si>
  <si>
    <t xml:space="preserve">GARANTİ EMEKLİLİK </t>
  </si>
  <si>
    <t xml:space="preserve">ESİN YÜKSEL </t>
  </si>
  <si>
    <t xml:space="preserve">4402 9300 3242 7100  06/28  CVV 507
</t>
  </si>
  <si>
    <t>54 ALU 462</t>
  </si>
  <si>
    <t>MERVE KAİME</t>
  </si>
  <si>
    <t>54 SB 600</t>
  </si>
  <si>
    <t>ENSAR BEY TELEFON 27.07.1993</t>
  </si>
  <si>
    <t>54 DP 543</t>
  </si>
  <si>
    <t>MÜŞERREF TOKEL</t>
  </si>
  <si>
    <t xml:space="preserve"> </t>
  </si>
  <si>
    <t>34 ESB 70</t>
  </si>
  <si>
    <t xml:space="preserve">EZGİ YÜCEL </t>
  </si>
  <si>
    <t>34 KHH 384</t>
  </si>
  <si>
    <t>77 AD 797</t>
  </si>
  <si>
    <t xml:space="preserve">HALUK GÜVEN </t>
  </si>
  <si>
    <t>54 AAH 038</t>
  </si>
  <si>
    <t>4013 0862 0691 7031  11/26 856   /21.07.1953</t>
  </si>
  <si>
    <t>serap güven  CEP TEL</t>
  </si>
  <si>
    <t>BARIŞ ÇETİN</t>
  </si>
  <si>
    <t>34 GS 1571</t>
  </si>
  <si>
    <t>5203 0300 4344 9009  08/26  640   08.10.1987</t>
  </si>
  <si>
    <t>ÖZLEM TOPÇU</t>
  </si>
  <si>
    <t>54 ABK 017</t>
  </si>
  <si>
    <t>MUHAMMET ERDEM</t>
  </si>
  <si>
    <t>34 JF 8370</t>
  </si>
  <si>
    <t>ANKARA</t>
  </si>
  <si>
    <t>54BS586</t>
  </si>
  <si>
    <t>ensar bey 5549 6077 6810 9265   03.26 916   tckn 50530491052  27.07.1993</t>
  </si>
  <si>
    <t>SEDA ŞENTÜRK</t>
  </si>
  <si>
    <t>08.03.1988 /43696599236 ELA ŞENTÜRK 07.12. 2017 İSMAİL ŞENTÜRK KART ÇEKİLDİ</t>
  </si>
  <si>
    <t>54 ALZ 223</t>
  </si>
  <si>
    <t>54 ALZ 220</t>
  </si>
  <si>
    <t>54 ALZ 233</t>
  </si>
  <si>
    <t>AHMET TURAN EROL</t>
  </si>
  <si>
    <t>41 R 2279</t>
  </si>
  <si>
    <t>UNICO</t>
  </si>
  <si>
    <t>20.01.1986 SERAP HANIM yönlendirdi</t>
  </si>
  <si>
    <t>54 AHT 700</t>
  </si>
  <si>
    <t>54 AKJ 027</t>
  </si>
  <si>
    <t>54 AKJ 035</t>
  </si>
  <si>
    <t>54 ANA 310</t>
  </si>
  <si>
    <t>54 ANA 309</t>
  </si>
  <si>
    <t>ESİN EMİNE HEKİM</t>
  </si>
  <si>
    <t>ŞİRKET 1174492925</t>
  </si>
  <si>
    <t>54 AHA 036</t>
  </si>
  <si>
    <t xml:space="preserve">TÜRKİYE </t>
  </si>
  <si>
    <t>54 AHA 041</t>
  </si>
  <si>
    <t>54 AHA 044</t>
  </si>
  <si>
    <t>ŞİRKET 202000000513427</t>
  </si>
  <si>
    <t>FETHİ KIRIKÇI</t>
  </si>
  <si>
    <t>54AF369</t>
  </si>
  <si>
    <t>54 EG 633</t>
  </si>
  <si>
    <t>BİZİM KARTTAN ÇEKİLDİ</t>
  </si>
  <si>
    <t>54 FT153</t>
  </si>
  <si>
    <t>54 FT 153</t>
  </si>
  <si>
    <t>ZKFKS</t>
  </si>
  <si>
    <t>54 AHU 107</t>
  </si>
  <si>
    <t xml:space="preserve">HEPİYİ </t>
  </si>
  <si>
    <t>ÖMER FARUK DEREGÖZÜ</t>
  </si>
  <si>
    <t>34DGZ90</t>
  </si>
  <si>
    <t>MOTOR 254915V0518328 / ŞASİ W1KAF4DB2RF157728 2024 MODEL MERCEDES</t>
  </si>
  <si>
    <t>FİKRİ DEREGÖZÜ</t>
  </si>
  <si>
    <t>34 DGZ 33</t>
  </si>
  <si>
    <t>MOTOR 254915V0506102 / ŞASİ W1KAF4DB2RF156529 2024 MODEL MERCEDES ARAÇ KODU 902526</t>
  </si>
  <si>
    <t>SERAP GÜVEN ÇELİK</t>
  </si>
  <si>
    <t>54 YV 066</t>
  </si>
  <si>
    <t xml:space="preserve">RECEP ÜNAL </t>
  </si>
  <si>
    <t>202000000579518  şirket</t>
  </si>
  <si>
    <t>ŞİRKET 202000000581137</t>
  </si>
  <si>
    <t>KADİR EMRE ÇAKAR</t>
  </si>
  <si>
    <t>16 NYB 95</t>
  </si>
  <si>
    <t>MAPFRE</t>
  </si>
  <si>
    <t xml:space="preserve">ÖMER ŞAHİN KUZEN </t>
  </si>
  <si>
    <t>ÇAĞATAY ZAİM</t>
  </si>
  <si>
    <t>54 ALE 179</t>
  </si>
  <si>
    <t>41 HY 189</t>
  </si>
  <si>
    <t>MEBS İNŞAAT TARIM</t>
  </si>
  <si>
    <t>fikri deregözü ev  202000000601795 şirket</t>
  </si>
  <si>
    <t>EDA ALEM</t>
  </si>
  <si>
    <t>34 SAM 71</t>
  </si>
  <si>
    <t xml:space="preserve">4743 4010 9158 1409  11/32  348  19.09.1985 hayrettin eşi FİRUZAN arkadaşı </t>
  </si>
  <si>
    <t xml:space="preserve">FATİH ÇELİK </t>
  </si>
  <si>
    <t>54 ACC 369</t>
  </si>
  <si>
    <t>4938410164502742  05/29  251 özkanın arkadaşı</t>
  </si>
  <si>
    <t>RAMAZAN SEZER</t>
  </si>
  <si>
    <t>SADET ÖZTÜRK</t>
  </si>
  <si>
    <t>54 AP 837</t>
  </si>
  <si>
    <t>SİBEL TANIDIK 10.03.1977</t>
  </si>
  <si>
    <t>AYNUR ÖZTÜRK TCKN 40255439170 ONUN KARTINDAN ÇEKİLDİ</t>
  </si>
  <si>
    <t>54 ANG 921</t>
  </si>
  <si>
    <t>54 ANG 920</t>
  </si>
  <si>
    <t>54 ANG 904</t>
  </si>
  <si>
    <t>54 ANG 912</t>
  </si>
  <si>
    <t>54 ANG 922</t>
  </si>
  <si>
    <t xml:space="preserve">FIRAT BÖCEK </t>
  </si>
  <si>
    <t>34 ZH 2228</t>
  </si>
  <si>
    <t xml:space="preserve">ÇAĞATAY  32249098692 / 30.10.1988 - ÇAĞAN 40013233668 /08.06.2018  </t>
  </si>
  <si>
    <t>ERBİL SERİN</t>
  </si>
  <si>
    <t>54EV164</t>
  </si>
  <si>
    <t>05417287668 BABASI HALİM bey aracı kullanan</t>
  </si>
  <si>
    <t>NİHAT ARDA ŞAHİN</t>
  </si>
  <si>
    <t>34 CHP 13</t>
  </si>
  <si>
    <t xml:space="preserve">HANDAN KİŞİOĞLU </t>
  </si>
  <si>
    <t>54 AKH 761</t>
  </si>
  <si>
    <t>CR İŞ MAKİNELERİ</t>
  </si>
  <si>
    <t>35ACF867</t>
  </si>
  <si>
    <t>SEDA GÜVEN</t>
  </si>
  <si>
    <t>34 FKG 127</t>
  </si>
  <si>
    <t>serap Güven ilgileniyor ona at</t>
  </si>
  <si>
    <t xml:space="preserve">EMRE YÜKSEL </t>
  </si>
  <si>
    <t>34 HLJ 643</t>
  </si>
  <si>
    <t>HACI ÖMER SEYHAN</t>
  </si>
  <si>
    <t>EMİN BÖCEK</t>
  </si>
  <si>
    <t>şirket pol no 847249289/d</t>
  </si>
  <si>
    <t xml:space="preserve">HAMİ BÖCEK </t>
  </si>
  <si>
    <t>54 HB 340</t>
  </si>
  <si>
    <t>34 DYU 699</t>
  </si>
  <si>
    <t>18.11.1954/ 5400637012383778   11/26  684</t>
  </si>
  <si>
    <t>GLOBAL HEDEF</t>
  </si>
  <si>
    <t>ŞİRKET 850075170</t>
  </si>
  <si>
    <t>HALİL UYGUR</t>
  </si>
  <si>
    <t>006 RNR 50</t>
  </si>
  <si>
    <t>EMAA</t>
  </si>
  <si>
    <t>20.06.1980 internetten bulmuş uzman çavuş emaa sigortadan yaptırdı</t>
  </si>
  <si>
    <t>62614088386 - 10.07.2020 /   56719025926 -11.02.2014 / serap hanım 07.02.1982  / eşi Uğur bey 41386612326 08.02.1981</t>
  </si>
  <si>
    <t>MÜRTEZA KÖKER</t>
  </si>
  <si>
    <t>54 AKA 278</t>
  </si>
  <si>
    <t>15.10.1960 fıratın dayısı</t>
  </si>
  <si>
    <t>54 AIH 473</t>
  </si>
  <si>
    <t>yılgenci sinan müşterisi 12.06.1958</t>
  </si>
  <si>
    <t>4506 3441 8008 1518  05/29  230    ŞİRKET 854002292</t>
  </si>
  <si>
    <t>MELİH AKIN</t>
  </si>
  <si>
    <t>54 ACM 478</t>
  </si>
  <si>
    <t>BEKLAN EŞİ 14.02.1972</t>
  </si>
  <si>
    <t>FİLİZ ESVET NUR</t>
  </si>
  <si>
    <t>54 EN 946</t>
  </si>
  <si>
    <t>15.02.1988 Fırat Böcek yönlendirdi</t>
  </si>
  <si>
    <t>54ANP065</t>
  </si>
  <si>
    <t>54ANP064</t>
  </si>
  <si>
    <t>GAMZE ALTAY</t>
  </si>
  <si>
    <t>34 RL 1184</t>
  </si>
  <si>
    <t>hayrettin karttan çekildi 29.02.1996</t>
  </si>
  <si>
    <t>AMIR POURZAD</t>
  </si>
  <si>
    <t>ŞİRKET202000000766234   10.05.1974</t>
  </si>
  <si>
    <t>ŞİRKET 858224157</t>
  </si>
  <si>
    <t>bizim karttan çekildi 01.08.1987</t>
  </si>
  <si>
    <t>34 CIA 121</t>
  </si>
  <si>
    <t>HALİS ÖZMERT</t>
  </si>
  <si>
    <t>16 BPS 34</t>
  </si>
  <si>
    <t>AHMET MAYUK</t>
  </si>
  <si>
    <t>54 ACE 128</t>
  </si>
  <si>
    <t>hayrettin çalışanı 10.05.1947 TELEFON MUSTAFA BEY</t>
  </si>
  <si>
    <t>LEVENT DURNA</t>
  </si>
  <si>
    <t>ALKAN KIRCAALİ</t>
  </si>
  <si>
    <t>54 AAS 007</t>
  </si>
  <si>
    <t>corpus internet 01.01.1988</t>
  </si>
  <si>
    <t>İDRİS KARA</t>
  </si>
  <si>
    <t>54 ACP 274</t>
  </si>
  <si>
    <t>HAMİ ABİ kızının aracı 01.05.1963</t>
  </si>
  <si>
    <t>HAMİ ABİ kızının aracı</t>
  </si>
  <si>
    <t>FOROOZAN KHADEMI</t>
  </si>
  <si>
    <t>34 MD 9669</t>
  </si>
  <si>
    <t>HAYRETTİN ŞAHSİ KART 5289 3954 1280 1016  01/26  674  05.09.1989</t>
  </si>
  <si>
    <t>PERS SİGORTADAN KESİLDİ</t>
  </si>
  <si>
    <t>ÖZLEM BURAK</t>
  </si>
  <si>
    <t>54 AFS573</t>
  </si>
  <si>
    <t xml:space="preserve">31.08.1991 Kreş </t>
  </si>
  <si>
    <t>54 ANU 015</t>
  </si>
  <si>
    <t>54 ANU 018</t>
  </si>
  <si>
    <t>54 ANU 016</t>
  </si>
  <si>
    <t>YILMAZ ŞAHİN</t>
  </si>
  <si>
    <t>34 ECM 533</t>
  </si>
  <si>
    <t>fikri deregözü kartından çekildi20.08.1955</t>
  </si>
  <si>
    <t>DURNA SAVUNMA SANAYİ</t>
  </si>
  <si>
    <t>34 DRN 630</t>
  </si>
  <si>
    <t>54 BM 084</t>
  </si>
  <si>
    <t>54 ACS 138</t>
  </si>
  <si>
    <t xml:space="preserve">KORU </t>
  </si>
  <si>
    <t>DERYA GÜLTEKİN</t>
  </si>
  <si>
    <t>DAMLA GENCAY TEL 05319385233</t>
  </si>
  <si>
    <t>81 AZ 301</t>
  </si>
  <si>
    <t>DAMLA GENCAY KARTINDAN ÇEKİLDİ  5548 4701 7617 5868  06/27  102    21.06.1985</t>
  </si>
  <si>
    <t>ERKAN ALKIŞ</t>
  </si>
  <si>
    <t xml:space="preserve">54 ANY 178 </t>
  </si>
  <si>
    <t>ÖZKAN ARKADAŞ 01.01.1985</t>
  </si>
  <si>
    <t xml:space="preserve">BAYRAM FAHRİ DURDURAN </t>
  </si>
  <si>
    <t>FATMA AKTAŞ</t>
  </si>
  <si>
    <t>77 BP 100</t>
  </si>
  <si>
    <t>ERDOĞAN ABİ 08.12.1970</t>
  </si>
  <si>
    <t xml:space="preserve">EMİNE ERDEM </t>
  </si>
  <si>
    <t>ŞİRKET 202000000882983  DERYA ANNESİ</t>
  </si>
  <si>
    <t>54 HB 993</t>
  </si>
  <si>
    <t>34 HHU 716</t>
  </si>
  <si>
    <t>54 BV 175</t>
  </si>
  <si>
    <t>ÇAĞATAY DEDE</t>
  </si>
  <si>
    <t>16 AVS 521</t>
  </si>
  <si>
    <t xml:space="preserve">TOPAÇ DEMİR ÇELİK </t>
  </si>
  <si>
    <t>TÜRKİYE  KATILIM</t>
  </si>
  <si>
    <t>SAPANCA ŞUBE PORTFÖY EŞİ</t>
  </si>
  <si>
    <t>54 AKR 332</t>
  </si>
  <si>
    <t>54AKR332</t>
  </si>
  <si>
    <t xml:space="preserve">SONGÜL ÇAKMAK </t>
  </si>
  <si>
    <t>34 CUU 26</t>
  </si>
  <si>
    <t xml:space="preserve">03.01.2000 / FETHİ ABİ KARASU PERSONEL </t>
  </si>
  <si>
    <t xml:space="preserve">trafik </t>
  </si>
  <si>
    <t>34FYA730</t>
  </si>
  <si>
    <t xml:space="preserve">TÜRKİYE SİGORTA </t>
  </si>
  <si>
    <t>41 BK 749</t>
  </si>
  <si>
    <t>202000000988606  şirket</t>
  </si>
  <si>
    <t>77 ADJ 797</t>
  </si>
  <si>
    <t>UFUK FURUNCUOĞLU</t>
  </si>
  <si>
    <t>54 UF 019</t>
  </si>
  <si>
    <t>27 L 8477</t>
  </si>
  <si>
    <t xml:space="preserve">İNŞAAT ALL RİSK </t>
  </si>
  <si>
    <t>İŞVEREN MALİ MESULİYET</t>
  </si>
  <si>
    <t>202000001008773 Şirket</t>
  </si>
  <si>
    <t xml:space="preserve">ERDOĞAN KANLI </t>
  </si>
  <si>
    <t>06 TBD 65</t>
  </si>
  <si>
    <t>BURCU ERYILMAZ ÇETİN</t>
  </si>
  <si>
    <t>AYTEN ECİN</t>
  </si>
  <si>
    <t>54 AE 772</t>
  </si>
  <si>
    <t>15.01.1981  volkan arkadaşı kuzen</t>
  </si>
  <si>
    <t>NURSEN GÜNEYSU</t>
  </si>
  <si>
    <t>23.11.1964    9792 2904 2840 4057 / 09-29 / 487</t>
  </si>
  <si>
    <t>HÜSEYİN ÇAKMAK</t>
  </si>
  <si>
    <t>54 AKY 308</t>
  </si>
  <si>
    <t>23.02.1965  Songül çakmak babası FETHİ ABİ KARASU ŞUBE</t>
  </si>
  <si>
    <t>MÜRVET SEZER</t>
  </si>
  <si>
    <t xml:space="preserve">ACIBADEM </t>
  </si>
  <si>
    <t>RASİME EBİLOĞLU</t>
  </si>
  <si>
    <t>54 AKU 903</t>
  </si>
  <si>
    <t>ÖMER ŞAHİN KAYINA-VALİDE 05.06.1966</t>
  </si>
  <si>
    <t>LEVENT ÖZER</t>
  </si>
  <si>
    <t>34 UU 1361</t>
  </si>
  <si>
    <t>Muhasebeci didem hanım 22.01.1990</t>
  </si>
  <si>
    <t>54 AJR 608</t>
  </si>
  <si>
    <t>54 AJV 364</t>
  </si>
  <si>
    <t>54AJV364</t>
  </si>
  <si>
    <t xml:space="preserve">RAY </t>
  </si>
  <si>
    <t xml:space="preserve">SANDIKÇILAR </t>
  </si>
  <si>
    <t>54AJR608</t>
  </si>
  <si>
    <t>YEŞİLKART</t>
  </si>
  <si>
    <t>54FT153</t>
  </si>
  <si>
    <t>54EB058</t>
  </si>
  <si>
    <t xml:space="preserve">EMİN ARSLAN </t>
  </si>
  <si>
    <t>54 ABA 395</t>
  </si>
  <si>
    <t>54 AJH 416</t>
  </si>
  <si>
    <t>54 AJH 381</t>
  </si>
  <si>
    <t>54 EV 857</t>
  </si>
  <si>
    <t xml:space="preserve">MEHMET NURİ ŞENGÜL </t>
  </si>
  <si>
    <t>20 ADL 656</t>
  </si>
  <si>
    <t>ANA</t>
  </si>
  <si>
    <t>17.08.1978  Whats app yazdı</t>
  </si>
  <si>
    <t>54 FD 811</t>
  </si>
  <si>
    <t>BUZAKHRO KHOLMATOVA</t>
  </si>
  <si>
    <t>YABANCI SAĞLIK</t>
  </si>
  <si>
    <t xml:space="preserve">İBRAHİM KAPLAN </t>
  </si>
  <si>
    <t>34 PF 2332</t>
  </si>
  <si>
    <t xml:space="preserve"> 01.05.1946 SENEM KAYNI</t>
  </si>
  <si>
    <t>SALİM KALE</t>
  </si>
  <si>
    <t>54 SB 574</t>
  </si>
  <si>
    <t xml:space="preserve">  selimcan bey  TELEFON 28.01.1960 EMEKLİ bizim karttan çekildi </t>
  </si>
  <si>
    <t xml:space="preserve">MİRALAY MADENCİLİK  </t>
  </si>
  <si>
    <t xml:space="preserve">54 AFR 990 </t>
  </si>
  <si>
    <t>ŞİRKET 202000001125212    17.06.1992</t>
  </si>
  <si>
    <t>TALHA TANER</t>
  </si>
  <si>
    <t>54 SC 821</t>
  </si>
  <si>
    <t>YİĞİT BURAK HEKİM</t>
  </si>
  <si>
    <t>ESİN hanım oğlu 26.08.2003</t>
  </si>
  <si>
    <t>54 BF 933</t>
  </si>
  <si>
    <t>34 BJJ 134</t>
  </si>
  <si>
    <t>Banka kesti</t>
  </si>
  <si>
    <t>54 AHY 099</t>
  </si>
  <si>
    <t>BURCU EROL</t>
  </si>
  <si>
    <t>54VA196</t>
  </si>
  <si>
    <t>ONUR yönlendirdi Serap Güven çelik aradı 18.07.1991</t>
  </si>
  <si>
    <t>FİLO</t>
  </si>
  <si>
    <t>45 ARAÇ</t>
  </si>
  <si>
    <t>DOĞUM</t>
  </si>
  <si>
    <t xml:space="preserve">EMİN BÖCEK </t>
  </si>
  <si>
    <t>ÖMER KAPLAN</t>
  </si>
  <si>
    <t>53 ABY 699</t>
  </si>
  <si>
    <t>YABANCI KİMLİK NO99613829580 /PASAPORT NO Z97597516</t>
  </si>
  <si>
    <t xml:space="preserve"> / 202000001157964</t>
  </si>
  <si>
    <t>34 DDM 775</t>
  </si>
  <si>
    <t>34 CZH735</t>
  </si>
  <si>
    <t>Hayrettin Sezer</t>
  </si>
  <si>
    <t xml:space="preserve">Hayrettin Sezer </t>
  </si>
  <si>
    <t>Onur Ünal</t>
  </si>
  <si>
    <t>Emel İpek</t>
  </si>
  <si>
    <t>BERİL ZÜLAL BERK</t>
  </si>
  <si>
    <t>Müşteri Türü</t>
  </si>
  <si>
    <t>Kurumsal</t>
  </si>
  <si>
    <t>Bireysel</t>
  </si>
  <si>
    <t>02.05.1993  BABA UMARJON / anne fotıma  kimlik no : FA3532854</t>
  </si>
  <si>
    <t>İşyeri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</si>
</sst>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horizontal="right"/>
    </xf>
    <xf numFmtId="14" fontId="1" fillId="2" borderId="1" xfId="0" applyNumberFormat="1" applyFont="1" applyFill="1" applyBorder="1" applyAlignment="1">
      <alignment vertical="center"/>
    </xf>
    <xf numFmtId="4" fontId="1" fillId="2" borderId="1" xfId="0" applyNumberFormat="1" applyFont="1" applyFill="1" applyBorder="1" applyAlignment="1">
      <alignment vertical="center"/>
    </xf>
    <xf numFmtId="0" fontId="0" fillId="0" borderId="1" xfId="0" applyBorder="1"/>
    <xf numFmtId="1" fontId="0" fillId="0" borderId="1" xfId="0" applyNumberFormat="1" applyBorder="1"/>
    <xf numFmtId="1" fontId="0" fillId="0" borderId="1" xfId="0" applyNumberFormat="1" applyBorder="1" applyAlignment="1">
      <alignment horizontal="right"/>
    </xf>
    <xf numFmtId="14" fontId="0" fillId="0" borderId="1" xfId="0" applyNumberFormat="1" applyBorder="1"/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2"/>
  <sheetViews>
    <sheetView tabSelected="1" workbookViewId="0">
      <selection activeCell="H20" sqref="H20"/>
    </sheetView>
  </sheetViews>
  <sheetFormatPr defaultRowHeight="14.4" x14ac:dyDescent="0.3"/>
  <cols>
    <col min="1" max="1" width="16.109375" customWidth="1"/>
    <col min="2" max="2" width="24.44140625" bestFit="1" customWidth="1"/>
    <col min="3" max="3" width="18.109375" customWidth="1"/>
    <col min="4" max="4" width="12.77734375" customWidth="1"/>
    <col min="5" max="5" width="19.21875" customWidth="1"/>
    <col min="6" max="6" width="25.109375" customWidth="1"/>
    <col min="7" max="7" width="17.109375" customWidth="1"/>
    <col min="8" max="8" width="16" customWidth="1"/>
    <col min="9" max="9" width="17" customWidth="1"/>
    <col min="10" max="10" width="12.21875" customWidth="1"/>
    <col min="11" max="11" width="26.44140625" customWidth="1"/>
    <col min="12" max="12" width="10.109375" bestFit="1" customWidth="1"/>
    <col min="13" max="13" width="20.5546875" customWidth="1"/>
    <col min="14" max="14" width="40.33203125" customWidth="1"/>
  </cols>
  <sheetData>
    <row r="1" spans="1:14" x14ac:dyDescent="0.3">
      <c r="A1" s="1" t="s">
        <v>500</v>
      </c>
      <c r="B1" s="1" t="s">
        <v>0</v>
      </c>
      <c r="C1" s="2" t="s">
        <v>1</v>
      </c>
      <c r="D1" s="2" t="s">
        <v>2</v>
      </c>
      <c r="E1" s="1" t="s">
        <v>3</v>
      </c>
      <c r="F1" s="3" t="s">
        <v>4</v>
      </c>
      <c r="G1" s="4" t="s">
        <v>5</v>
      </c>
      <c r="H1" s="4" t="s">
        <v>6</v>
      </c>
      <c r="I1" s="1" t="s">
        <v>7</v>
      </c>
      <c r="J1" s="5" t="s">
        <v>8</v>
      </c>
      <c r="K1" s="1" t="s">
        <v>9</v>
      </c>
      <c r="L1" s="1" t="s">
        <v>10</v>
      </c>
      <c r="M1" s="1" t="s">
        <v>11</v>
      </c>
      <c r="N1" s="1" t="s">
        <v>12</v>
      </c>
    </row>
    <row r="2" spans="1:14" x14ac:dyDescent="0.3">
      <c r="A2" s="6" t="s">
        <v>502</v>
      </c>
      <c r="B2" s="6" t="s">
        <v>134</v>
      </c>
      <c r="C2" s="7">
        <v>44572687856</v>
      </c>
      <c r="D2" s="7"/>
      <c r="E2" s="6" t="s">
        <v>37</v>
      </c>
      <c r="F2" s="8">
        <v>600000001361473</v>
      </c>
      <c r="G2" s="9">
        <v>45680</v>
      </c>
      <c r="H2" s="9">
        <v>45680</v>
      </c>
      <c r="I2" s="6"/>
      <c r="J2" s="10">
        <v>557.66999999999996</v>
      </c>
      <c r="K2" s="6" t="s">
        <v>498</v>
      </c>
      <c r="L2" s="6">
        <v>223.07</v>
      </c>
      <c r="M2" s="6" t="s">
        <v>38</v>
      </c>
      <c r="N2" s="6"/>
    </row>
    <row r="3" spans="1:14" x14ac:dyDescent="0.3">
      <c r="A3" s="6" t="s">
        <v>502</v>
      </c>
      <c r="B3" s="6" t="s">
        <v>179</v>
      </c>
      <c r="C3" s="7">
        <v>39412987104</v>
      </c>
      <c r="D3" s="7"/>
      <c r="E3" s="6" t="s">
        <v>37</v>
      </c>
      <c r="F3" s="8">
        <v>600000001465842</v>
      </c>
      <c r="G3" s="9">
        <v>45714</v>
      </c>
      <c r="H3" s="9">
        <v>45719</v>
      </c>
      <c r="I3" s="6"/>
      <c r="J3" s="10">
        <v>1527.32</v>
      </c>
      <c r="K3" s="6" t="s">
        <v>498</v>
      </c>
      <c r="L3" s="6">
        <v>610.92999999999995</v>
      </c>
      <c r="M3" s="6" t="s">
        <v>38</v>
      </c>
      <c r="N3" s="6" t="s">
        <v>180</v>
      </c>
    </row>
    <row r="4" spans="1:14" x14ac:dyDescent="0.3">
      <c r="A4" s="6" t="s">
        <v>502</v>
      </c>
      <c r="B4" s="6" t="s">
        <v>187</v>
      </c>
      <c r="C4" s="7">
        <v>24368358672</v>
      </c>
      <c r="D4" s="7"/>
      <c r="E4" s="6" t="s">
        <v>188</v>
      </c>
      <c r="F4" s="8">
        <v>110000004466624</v>
      </c>
      <c r="G4" s="9">
        <v>45722</v>
      </c>
      <c r="H4" s="9">
        <v>45724</v>
      </c>
      <c r="I4" s="6"/>
      <c r="J4" s="10">
        <v>1845.25</v>
      </c>
      <c r="K4" s="6" t="s">
        <v>498</v>
      </c>
      <c r="L4" s="6"/>
      <c r="M4" s="6" t="s">
        <v>71</v>
      </c>
      <c r="N4" s="6" t="s">
        <v>189</v>
      </c>
    </row>
    <row r="5" spans="1:14" x14ac:dyDescent="0.3">
      <c r="A5" s="6" t="s">
        <v>502</v>
      </c>
      <c r="B5" s="6" t="s">
        <v>278</v>
      </c>
      <c r="C5" s="7">
        <v>10088446034</v>
      </c>
      <c r="D5" s="7"/>
      <c r="E5" s="6" t="s">
        <v>14</v>
      </c>
      <c r="F5" s="8" t="s">
        <v>15</v>
      </c>
      <c r="G5" s="9">
        <v>45799</v>
      </c>
      <c r="H5" s="9">
        <v>45802</v>
      </c>
      <c r="I5" s="6" t="s">
        <v>279</v>
      </c>
      <c r="J5" s="10"/>
      <c r="K5" s="6" t="s">
        <v>498</v>
      </c>
      <c r="L5" s="6"/>
      <c r="M5" s="6" t="s">
        <v>280</v>
      </c>
      <c r="N5" s="6"/>
    </row>
    <row r="6" spans="1:14" x14ac:dyDescent="0.3">
      <c r="A6" s="6" t="s">
        <v>502</v>
      </c>
      <c r="B6" s="6" t="s">
        <v>278</v>
      </c>
      <c r="C6" s="7">
        <v>10088446034</v>
      </c>
      <c r="D6" s="7"/>
      <c r="E6" s="6" t="s">
        <v>50</v>
      </c>
      <c r="F6" s="8" t="s">
        <v>15</v>
      </c>
      <c r="G6" s="9">
        <v>45799</v>
      </c>
      <c r="H6" s="9">
        <v>45802</v>
      </c>
      <c r="I6" s="6" t="s">
        <v>279</v>
      </c>
      <c r="J6" s="10"/>
      <c r="K6" s="6" t="s">
        <v>498</v>
      </c>
      <c r="L6" s="6"/>
      <c r="M6" s="6" t="s">
        <v>280</v>
      </c>
      <c r="N6" s="6" t="s">
        <v>281</v>
      </c>
    </row>
    <row r="7" spans="1:14" x14ac:dyDescent="0.3">
      <c r="A7" s="6" t="s">
        <v>502</v>
      </c>
      <c r="B7" s="6" t="s">
        <v>134</v>
      </c>
      <c r="C7" s="7">
        <v>22222222222</v>
      </c>
      <c r="D7" s="7"/>
      <c r="E7" s="6" t="s">
        <v>37</v>
      </c>
      <c r="F7" s="8">
        <v>600000001763935</v>
      </c>
      <c r="G7" s="9">
        <v>45813</v>
      </c>
      <c r="H7" s="9">
        <v>45816</v>
      </c>
      <c r="I7" s="6"/>
      <c r="J7" s="10">
        <v>864.83</v>
      </c>
      <c r="K7" s="6" t="s">
        <v>498</v>
      </c>
      <c r="L7" s="6">
        <v>345.93</v>
      </c>
      <c r="M7" s="6" t="s">
        <v>38</v>
      </c>
      <c r="N7" s="6" t="s">
        <v>305</v>
      </c>
    </row>
    <row r="8" spans="1:14" x14ac:dyDescent="0.3">
      <c r="A8" s="6" t="s">
        <v>502</v>
      </c>
      <c r="B8" s="6" t="s">
        <v>273</v>
      </c>
      <c r="C8" s="7">
        <v>29857545588</v>
      </c>
      <c r="D8" s="7"/>
      <c r="E8" s="6" t="s">
        <v>37</v>
      </c>
      <c r="F8" s="8">
        <v>600000001844318</v>
      </c>
      <c r="G8" s="9">
        <v>45832</v>
      </c>
      <c r="H8" s="9">
        <v>45835</v>
      </c>
      <c r="I8" s="6"/>
      <c r="J8" s="10">
        <v>1003.38</v>
      </c>
      <c r="K8" s="6" t="s">
        <v>498</v>
      </c>
      <c r="L8" s="6">
        <v>401.35</v>
      </c>
      <c r="M8" s="6" t="s">
        <v>38</v>
      </c>
      <c r="N8" s="6" t="s">
        <v>333</v>
      </c>
    </row>
    <row r="9" spans="1:14" x14ac:dyDescent="0.3">
      <c r="A9" s="6" t="s">
        <v>502</v>
      </c>
      <c r="B9" s="6" t="s">
        <v>251</v>
      </c>
      <c r="C9" s="7">
        <v>51058081626</v>
      </c>
      <c r="D9" s="7">
        <v>5325525060</v>
      </c>
      <c r="E9" s="6" t="s">
        <v>14</v>
      </c>
      <c r="F9" s="8">
        <v>417294403</v>
      </c>
      <c r="G9" s="9">
        <v>45836</v>
      </c>
      <c r="H9" s="9">
        <v>45836</v>
      </c>
      <c r="I9" s="6" t="s">
        <v>337</v>
      </c>
      <c r="J9" s="10">
        <v>7951.48</v>
      </c>
      <c r="K9" s="6" t="s">
        <v>498</v>
      </c>
      <c r="L9" s="6">
        <v>431.35</v>
      </c>
      <c r="M9" s="6" t="s">
        <v>74</v>
      </c>
      <c r="N9" s="6">
        <v>27169</v>
      </c>
    </row>
    <row r="10" spans="1:14" x14ac:dyDescent="0.3">
      <c r="A10" s="6" t="s">
        <v>502</v>
      </c>
      <c r="B10" s="6" t="s">
        <v>36</v>
      </c>
      <c r="C10" s="7">
        <v>18164569752</v>
      </c>
      <c r="D10" s="7"/>
      <c r="E10" s="6" t="s">
        <v>37</v>
      </c>
      <c r="F10" s="8">
        <v>600000000763646</v>
      </c>
      <c r="G10" s="9">
        <v>45854</v>
      </c>
      <c r="H10" s="9">
        <v>45854</v>
      </c>
      <c r="I10" s="6"/>
      <c r="J10" s="10">
        <v>251.11</v>
      </c>
      <c r="K10" s="6" t="s">
        <v>495</v>
      </c>
      <c r="L10" s="6">
        <v>125.55</v>
      </c>
      <c r="M10" s="6" t="s">
        <v>38</v>
      </c>
      <c r="N10" s="6"/>
    </row>
    <row r="11" spans="1:14" x14ac:dyDescent="0.3">
      <c r="A11" s="6" t="s">
        <v>502</v>
      </c>
      <c r="B11" s="6" t="s">
        <v>251</v>
      </c>
      <c r="C11" s="7">
        <v>51058081626</v>
      </c>
      <c r="D11" s="7">
        <v>5325525060</v>
      </c>
      <c r="E11" s="6" t="s">
        <v>50</v>
      </c>
      <c r="F11" s="8">
        <v>236540516</v>
      </c>
      <c r="G11" s="9">
        <v>45882</v>
      </c>
      <c r="H11" s="9">
        <v>45882</v>
      </c>
      <c r="I11" s="6" t="s">
        <v>337</v>
      </c>
      <c r="J11" s="10">
        <v>24015.78</v>
      </c>
      <c r="K11" s="6" t="s">
        <v>498</v>
      </c>
      <c r="L11" s="6">
        <f>3430*0.6</f>
        <v>2058</v>
      </c>
      <c r="M11" s="6" t="s">
        <v>386</v>
      </c>
      <c r="N11" s="6">
        <v>27169</v>
      </c>
    </row>
    <row r="12" spans="1:14" x14ac:dyDescent="0.3">
      <c r="A12" s="6" t="s">
        <v>502</v>
      </c>
      <c r="B12" s="6" t="s">
        <v>181</v>
      </c>
      <c r="C12" s="7">
        <v>26105394998</v>
      </c>
      <c r="D12" s="7"/>
      <c r="E12" s="6" t="s">
        <v>50</v>
      </c>
      <c r="F12" s="8" t="s">
        <v>15</v>
      </c>
      <c r="G12" s="9">
        <v>45908</v>
      </c>
      <c r="H12" s="9">
        <v>45908</v>
      </c>
      <c r="I12" s="6" t="s">
        <v>409</v>
      </c>
      <c r="J12" s="10"/>
      <c r="K12" s="6" t="s">
        <v>498</v>
      </c>
      <c r="L12" s="6"/>
      <c r="M12" s="6" t="s">
        <v>30</v>
      </c>
      <c r="N12" s="6"/>
    </row>
    <row r="13" spans="1:14" x14ac:dyDescent="0.3">
      <c r="A13" s="6" t="s">
        <v>502</v>
      </c>
      <c r="B13" s="6" t="s">
        <v>156</v>
      </c>
      <c r="C13" s="7">
        <v>21040245558</v>
      </c>
      <c r="D13" s="7">
        <v>5325410396</v>
      </c>
      <c r="E13" s="6" t="s">
        <v>37</v>
      </c>
      <c r="F13" s="8">
        <v>600000002162449</v>
      </c>
      <c r="G13" s="9">
        <v>45915</v>
      </c>
      <c r="H13" s="9">
        <v>45920</v>
      </c>
      <c r="I13" s="6"/>
      <c r="J13" s="10">
        <v>5084.33</v>
      </c>
      <c r="K13" s="6" t="s">
        <v>497</v>
      </c>
      <c r="L13" s="6">
        <v>1271.08</v>
      </c>
      <c r="M13" s="6" t="s">
        <v>38</v>
      </c>
      <c r="N13" s="6"/>
    </row>
    <row r="14" spans="1:14" x14ac:dyDescent="0.3">
      <c r="A14" s="6" t="s">
        <v>502</v>
      </c>
      <c r="B14" s="6" t="s">
        <v>427</v>
      </c>
      <c r="C14" s="7">
        <v>14111064424</v>
      </c>
      <c r="D14" s="7">
        <v>5335588348</v>
      </c>
      <c r="E14" s="6" t="s">
        <v>37</v>
      </c>
      <c r="F14" s="8">
        <v>600000002234886</v>
      </c>
      <c r="G14" s="9">
        <v>45936</v>
      </c>
      <c r="H14" s="9">
        <v>45940</v>
      </c>
      <c r="I14" s="6"/>
      <c r="J14" s="10">
        <v>976.17</v>
      </c>
      <c r="K14" s="6" t="s">
        <v>497</v>
      </c>
      <c r="L14" s="6">
        <v>390.47</v>
      </c>
      <c r="M14" s="6" t="s">
        <v>38</v>
      </c>
      <c r="N14" s="6">
        <v>29867</v>
      </c>
    </row>
    <row r="15" spans="1:14" x14ac:dyDescent="0.3">
      <c r="A15" s="6" t="s">
        <v>502</v>
      </c>
      <c r="B15" s="6" t="s">
        <v>227</v>
      </c>
      <c r="C15" s="7">
        <v>40756138688</v>
      </c>
      <c r="D15" s="7">
        <v>5335588348</v>
      </c>
      <c r="E15" s="6" t="s">
        <v>37</v>
      </c>
      <c r="F15" s="8">
        <v>600000002223957</v>
      </c>
      <c r="G15" s="9">
        <v>45932</v>
      </c>
      <c r="H15" s="9">
        <v>45940</v>
      </c>
      <c r="I15" s="6"/>
      <c r="J15" s="10">
        <v>976.77</v>
      </c>
      <c r="K15" s="6" t="s">
        <v>497</v>
      </c>
      <c r="L15" s="6">
        <v>390.71</v>
      </c>
      <c r="M15" s="6" t="s">
        <v>38</v>
      </c>
      <c r="N15" s="6"/>
    </row>
    <row r="16" spans="1:14" x14ac:dyDescent="0.3">
      <c r="A16" s="6" t="s">
        <v>501</v>
      </c>
      <c r="B16" s="6" t="s">
        <v>13</v>
      </c>
      <c r="C16" s="7">
        <v>6211022844</v>
      </c>
      <c r="D16" s="7"/>
      <c r="E16" s="6" t="s">
        <v>50</v>
      </c>
      <c r="F16" s="8" t="s">
        <v>15</v>
      </c>
      <c r="G16" s="9">
        <v>45962</v>
      </c>
      <c r="H16" s="9">
        <v>45962</v>
      </c>
      <c r="I16" s="6" t="s">
        <v>449</v>
      </c>
      <c r="J16" s="10"/>
      <c r="K16" s="6" t="s">
        <v>495</v>
      </c>
      <c r="L16" s="6"/>
      <c r="M16" s="6"/>
      <c r="N16" s="6"/>
    </row>
    <row r="17" spans="1:14" x14ac:dyDescent="0.3">
      <c r="A17" s="6" t="s">
        <v>502</v>
      </c>
      <c r="B17" s="6" t="s">
        <v>156</v>
      </c>
      <c r="C17" s="7">
        <v>21040245558</v>
      </c>
      <c r="D17" s="7">
        <v>5325410396</v>
      </c>
      <c r="E17" s="6" t="s">
        <v>450</v>
      </c>
      <c r="F17" s="8">
        <v>1563143425</v>
      </c>
      <c r="G17" s="9">
        <v>45962</v>
      </c>
      <c r="H17" s="9">
        <v>45966</v>
      </c>
      <c r="I17" s="6" t="s">
        <v>451</v>
      </c>
      <c r="J17" s="10">
        <v>2293.06</v>
      </c>
      <c r="K17" s="6" t="s">
        <v>497</v>
      </c>
      <c r="L17" s="6">
        <f>218.47*0.6</f>
        <v>131.08199999999999</v>
      </c>
      <c r="M17" s="6" t="s">
        <v>30</v>
      </c>
      <c r="N17" s="6"/>
    </row>
    <row r="18" spans="1:14" x14ac:dyDescent="0.3">
      <c r="A18" s="6" t="s">
        <v>502</v>
      </c>
      <c r="B18" s="6" t="s">
        <v>369</v>
      </c>
      <c r="C18" s="7">
        <v>99613829580</v>
      </c>
      <c r="D18" s="7"/>
      <c r="E18" s="6" t="s">
        <v>112</v>
      </c>
      <c r="F18" s="8">
        <v>3090602</v>
      </c>
      <c r="G18" s="9">
        <v>45996</v>
      </c>
      <c r="H18" s="9">
        <v>45996</v>
      </c>
      <c r="I18" s="6"/>
      <c r="J18" s="10">
        <v>75469</v>
      </c>
      <c r="K18" s="6" t="s">
        <v>495</v>
      </c>
      <c r="L18" s="6"/>
      <c r="M18" s="6" t="s">
        <v>57</v>
      </c>
      <c r="N18" s="6">
        <v>32756</v>
      </c>
    </row>
    <row r="19" spans="1:14" x14ac:dyDescent="0.3">
      <c r="A19" s="6" t="s">
        <v>502</v>
      </c>
      <c r="B19" s="6" t="s">
        <v>468</v>
      </c>
      <c r="C19" s="7">
        <v>17615664152</v>
      </c>
      <c r="D19" s="7">
        <v>5464645051</v>
      </c>
      <c r="E19" s="6" t="s">
        <v>50</v>
      </c>
      <c r="F19" s="8" t="s">
        <v>15</v>
      </c>
      <c r="G19" s="9">
        <v>45638</v>
      </c>
      <c r="H19" s="9">
        <v>46003</v>
      </c>
      <c r="I19" s="6" t="s">
        <v>469</v>
      </c>
      <c r="J19" s="10"/>
      <c r="K19" s="6" t="s">
        <v>497</v>
      </c>
      <c r="L19" s="6">
        <v>5318.58</v>
      </c>
      <c r="M19" s="6" t="s">
        <v>74</v>
      </c>
      <c r="N19" s="6"/>
    </row>
    <row r="20" spans="1:14" x14ac:dyDescent="0.3">
      <c r="A20" s="6" t="s">
        <v>501</v>
      </c>
      <c r="B20" s="6" t="s">
        <v>13</v>
      </c>
      <c r="C20" s="7">
        <v>6211022844</v>
      </c>
      <c r="D20" s="7"/>
      <c r="E20" s="6" t="s">
        <v>14</v>
      </c>
      <c r="F20" s="8" t="s">
        <v>15</v>
      </c>
      <c r="G20" s="9">
        <v>45639</v>
      </c>
      <c r="H20" s="9">
        <v>46004</v>
      </c>
      <c r="I20" s="6" t="s">
        <v>479</v>
      </c>
      <c r="J20" s="10">
        <v>33991</v>
      </c>
      <c r="K20" s="6" t="s">
        <v>495</v>
      </c>
      <c r="L20" s="6">
        <v>3034.69</v>
      </c>
      <c r="M20" s="6" t="s">
        <v>17</v>
      </c>
      <c r="N20" s="6" t="s">
        <v>480</v>
      </c>
    </row>
    <row r="21" spans="1:14" x14ac:dyDescent="0.3">
      <c r="A21" s="6" t="s">
        <v>502</v>
      </c>
      <c r="B21" s="6" t="s">
        <v>59</v>
      </c>
      <c r="C21" s="7">
        <v>10205447340</v>
      </c>
      <c r="D21" s="7">
        <v>5327225400</v>
      </c>
      <c r="E21" s="6" t="s">
        <v>56</v>
      </c>
      <c r="F21" s="8">
        <v>2826254</v>
      </c>
      <c r="G21" s="9">
        <v>45639</v>
      </c>
      <c r="H21" s="9">
        <v>46004</v>
      </c>
      <c r="I21" s="6"/>
      <c r="J21" s="10">
        <v>8652</v>
      </c>
      <c r="K21" s="6" t="s">
        <v>498</v>
      </c>
      <c r="L21" s="6">
        <v>1297.8</v>
      </c>
      <c r="M21" s="6" t="s">
        <v>57</v>
      </c>
      <c r="N21" s="6" t="s">
        <v>58</v>
      </c>
    </row>
    <row r="22" spans="1:14" x14ac:dyDescent="0.3">
      <c r="A22" s="6" t="s">
        <v>502</v>
      </c>
      <c r="B22" s="6" t="s">
        <v>55</v>
      </c>
      <c r="C22" s="7">
        <v>29248808810</v>
      </c>
      <c r="D22" s="7">
        <v>5326955400</v>
      </c>
      <c r="E22" s="6" t="s">
        <v>56</v>
      </c>
      <c r="F22" s="8">
        <v>2826294</v>
      </c>
      <c r="G22" s="9">
        <v>45639</v>
      </c>
      <c r="H22" s="9">
        <v>46004</v>
      </c>
      <c r="I22" s="6"/>
      <c r="J22" s="10">
        <v>7765</v>
      </c>
      <c r="K22" s="6" t="s">
        <v>498</v>
      </c>
      <c r="L22" s="6">
        <v>1164.75</v>
      </c>
      <c r="M22" s="6" t="s">
        <v>57</v>
      </c>
      <c r="N22" s="6" t="s">
        <v>58</v>
      </c>
    </row>
    <row r="23" spans="1:14" x14ac:dyDescent="0.3">
      <c r="A23" s="6" t="s">
        <v>501</v>
      </c>
      <c r="B23" s="6" t="s">
        <v>13</v>
      </c>
      <c r="C23" s="7">
        <v>6211022844</v>
      </c>
      <c r="D23" s="7"/>
      <c r="E23" s="6" t="s">
        <v>14</v>
      </c>
      <c r="F23" s="8" t="s">
        <v>15</v>
      </c>
      <c r="G23" s="9">
        <v>45640</v>
      </c>
      <c r="H23" s="9">
        <v>46005</v>
      </c>
      <c r="I23" s="6" t="s">
        <v>481</v>
      </c>
      <c r="J23" s="10">
        <v>10127</v>
      </c>
      <c r="K23" s="6" t="s">
        <v>495</v>
      </c>
      <c r="L23" s="6">
        <v>904.1</v>
      </c>
      <c r="M23" s="6" t="s">
        <v>17</v>
      </c>
      <c r="N23" s="6" t="s">
        <v>480</v>
      </c>
    </row>
    <row r="24" spans="1:14" x14ac:dyDescent="0.3">
      <c r="A24" s="6" t="s">
        <v>502</v>
      </c>
      <c r="B24" s="6" t="s">
        <v>63</v>
      </c>
      <c r="C24" s="7">
        <v>40609821774</v>
      </c>
      <c r="D24" s="7"/>
      <c r="E24" s="6" t="s">
        <v>14</v>
      </c>
      <c r="F24" s="8">
        <v>100000323262654</v>
      </c>
      <c r="G24" s="9">
        <v>45643</v>
      </c>
      <c r="H24" s="9">
        <v>46008</v>
      </c>
      <c r="I24" s="6" t="s">
        <v>494</v>
      </c>
      <c r="J24" s="10">
        <v>15951.03</v>
      </c>
      <c r="K24" s="6" t="s">
        <v>497</v>
      </c>
      <c r="L24" s="6">
        <v>1458.62</v>
      </c>
      <c r="M24" s="6" t="s">
        <v>64</v>
      </c>
      <c r="N24" s="6" t="s">
        <v>65</v>
      </c>
    </row>
    <row r="25" spans="1:14" x14ac:dyDescent="0.3">
      <c r="A25" s="6" t="s">
        <v>502</v>
      </c>
      <c r="B25" s="6" t="s">
        <v>63</v>
      </c>
      <c r="C25" s="7">
        <v>40609821774</v>
      </c>
      <c r="D25" s="7"/>
      <c r="E25" s="6" t="s">
        <v>50</v>
      </c>
      <c r="F25" s="8">
        <v>351000063845627</v>
      </c>
      <c r="G25" s="9">
        <v>45643</v>
      </c>
      <c r="H25" s="9">
        <v>46008</v>
      </c>
      <c r="I25" s="6" t="s">
        <v>494</v>
      </c>
      <c r="J25" s="10">
        <v>11949.92</v>
      </c>
      <c r="K25" s="6" t="s">
        <v>497</v>
      </c>
      <c r="L25" s="6">
        <v>1707.13</v>
      </c>
      <c r="M25" s="6" t="s">
        <v>38</v>
      </c>
      <c r="N25" s="6"/>
    </row>
    <row r="26" spans="1:14" x14ac:dyDescent="0.3">
      <c r="A26" s="6" t="s">
        <v>501</v>
      </c>
      <c r="B26" s="6" t="s">
        <v>13</v>
      </c>
      <c r="C26" s="7">
        <v>6211022844</v>
      </c>
      <c r="D26" s="7"/>
      <c r="E26" s="6" t="s">
        <v>14</v>
      </c>
      <c r="F26" s="8" t="s">
        <v>15</v>
      </c>
      <c r="G26" s="9">
        <v>45646</v>
      </c>
      <c r="H26" s="9">
        <v>46011</v>
      </c>
      <c r="I26" s="6" t="s">
        <v>16</v>
      </c>
      <c r="J26" s="10"/>
      <c r="K26" s="6" t="s">
        <v>495</v>
      </c>
      <c r="L26" s="6"/>
      <c r="M26" s="6" t="s">
        <v>17</v>
      </c>
      <c r="N26" s="6"/>
    </row>
    <row r="27" spans="1:14" x14ac:dyDescent="0.3">
      <c r="A27" s="6" t="s">
        <v>502</v>
      </c>
      <c r="B27" s="6" t="s">
        <v>54</v>
      </c>
      <c r="C27" s="7">
        <v>21518791600</v>
      </c>
      <c r="D27" s="7"/>
      <c r="E27" s="6" t="s">
        <v>14</v>
      </c>
      <c r="F27" s="8" t="s">
        <v>15</v>
      </c>
      <c r="G27" s="9">
        <v>45646</v>
      </c>
      <c r="H27" s="9">
        <v>46011</v>
      </c>
      <c r="I27" s="6" t="s">
        <v>493</v>
      </c>
      <c r="J27" s="10"/>
      <c r="K27" s="6" t="s">
        <v>498</v>
      </c>
      <c r="L27" s="6"/>
      <c r="M27" s="6" t="s">
        <v>30</v>
      </c>
      <c r="N27" s="6"/>
    </row>
    <row r="28" spans="1:14" x14ac:dyDescent="0.3">
      <c r="A28" s="6" t="s">
        <v>502</v>
      </c>
      <c r="B28" s="6" t="s">
        <v>54</v>
      </c>
      <c r="C28" s="7">
        <v>21518791600</v>
      </c>
      <c r="D28" s="7"/>
      <c r="E28" s="6" t="s">
        <v>68</v>
      </c>
      <c r="F28" s="8">
        <v>1596610924</v>
      </c>
      <c r="G28" s="9">
        <v>45646</v>
      </c>
      <c r="H28" s="9">
        <v>46011</v>
      </c>
      <c r="I28" s="6" t="s">
        <v>493</v>
      </c>
      <c r="J28" s="10">
        <v>6540</v>
      </c>
      <c r="K28" s="6" t="s">
        <v>498</v>
      </c>
      <c r="L28" s="6">
        <f>944.15*0.6</f>
        <v>566.49</v>
      </c>
      <c r="M28" s="6" t="s">
        <v>30</v>
      </c>
      <c r="N28" s="6"/>
    </row>
    <row r="29" spans="1:14" x14ac:dyDescent="0.3">
      <c r="A29" s="6" t="s">
        <v>501</v>
      </c>
      <c r="B29" s="6" t="s">
        <v>13</v>
      </c>
      <c r="C29" s="7">
        <v>6211022844</v>
      </c>
      <c r="D29" s="7"/>
      <c r="E29" s="6" t="s">
        <v>14</v>
      </c>
      <c r="F29" s="8" t="s">
        <v>15</v>
      </c>
      <c r="G29" s="9">
        <v>45653</v>
      </c>
      <c r="H29" s="9">
        <v>46018</v>
      </c>
      <c r="I29" s="6" t="s">
        <v>75</v>
      </c>
      <c r="J29" s="10"/>
      <c r="K29" s="6" t="s">
        <v>495</v>
      </c>
      <c r="L29" s="6"/>
      <c r="M29" s="6" t="s">
        <v>17</v>
      </c>
      <c r="N29" s="6"/>
    </row>
    <row r="30" spans="1:14" x14ac:dyDescent="0.3">
      <c r="A30" s="6" t="s">
        <v>501</v>
      </c>
      <c r="B30" s="6" t="s">
        <v>69</v>
      </c>
      <c r="C30" s="7">
        <v>8510713515</v>
      </c>
      <c r="D30" s="7"/>
      <c r="E30" s="6" t="s">
        <v>50</v>
      </c>
      <c r="F30" s="8" t="s">
        <v>15</v>
      </c>
      <c r="G30" s="9">
        <v>45653</v>
      </c>
      <c r="H30" s="9">
        <v>46018</v>
      </c>
      <c r="I30" s="6" t="s">
        <v>70</v>
      </c>
      <c r="J30" s="10"/>
      <c r="K30" s="6" t="s">
        <v>498</v>
      </c>
      <c r="L30" s="6"/>
      <c r="M30" s="6" t="s">
        <v>71</v>
      </c>
      <c r="N30" s="6"/>
    </row>
    <row r="31" spans="1:14" x14ac:dyDescent="0.3">
      <c r="A31" s="6" t="s">
        <v>502</v>
      </c>
      <c r="B31" s="6" t="s">
        <v>54</v>
      </c>
      <c r="C31" s="7">
        <v>21518791600</v>
      </c>
      <c r="D31" s="7"/>
      <c r="E31" s="6" t="s">
        <v>14</v>
      </c>
      <c r="F31" s="8">
        <v>537177684</v>
      </c>
      <c r="G31" s="9">
        <v>45646</v>
      </c>
      <c r="H31" s="9">
        <v>46019</v>
      </c>
      <c r="I31" s="6" t="s">
        <v>66</v>
      </c>
      <c r="J31" s="10">
        <v>11105.99</v>
      </c>
      <c r="K31" s="6" t="s">
        <v>497</v>
      </c>
      <c r="L31" s="6">
        <f>1018.85*0.6</f>
        <v>611.30999999999995</v>
      </c>
      <c r="M31" s="6" t="s">
        <v>34</v>
      </c>
      <c r="N31" s="6" t="s">
        <v>67</v>
      </c>
    </row>
    <row r="32" spans="1:14" x14ac:dyDescent="0.3">
      <c r="A32" s="6" t="s">
        <v>502</v>
      </c>
      <c r="B32" s="6" t="s">
        <v>54</v>
      </c>
      <c r="C32" s="7">
        <v>21518791600</v>
      </c>
      <c r="D32" s="7"/>
      <c r="E32" s="6" t="s">
        <v>50</v>
      </c>
      <c r="F32" s="8">
        <v>1597262024</v>
      </c>
      <c r="G32" s="9">
        <v>45646</v>
      </c>
      <c r="H32" s="9">
        <v>46019</v>
      </c>
      <c r="I32" s="6" t="s">
        <v>66</v>
      </c>
      <c r="J32" s="10">
        <v>10490</v>
      </c>
      <c r="K32" s="6" t="s">
        <v>497</v>
      </c>
      <c r="L32" s="6">
        <f>1533.83*0.6</f>
        <v>920.29799999999989</v>
      </c>
      <c r="M32" s="6" t="s">
        <v>30</v>
      </c>
      <c r="N32" s="6"/>
    </row>
    <row r="33" spans="1:14" x14ac:dyDescent="0.3">
      <c r="A33" s="6" t="s">
        <v>502</v>
      </c>
      <c r="B33" s="6" t="s">
        <v>76</v>
      </c>
      <c r="C33" s="7">
        <v>50851756052</v>
      </c>
      <c r="D33" s="7">
        <v>5354182008</v>
      </c>
      <c r="E33" s="6" t="s">
        <v>14</v>
      </c>
      <c r="F33" s="8">
        <v>301000152964524</v>
      </c>
      <c r="G33" s="9">
        <v>45656</v>
      </c>
      <c r="H33" s="9">
        <v>46021</v>
      </c>
      <c r="I33" s="6" t="s">
        <v>77</v>
      </c>
      <c r="J33" s="10">
        <v>8374.92</v>
      </c>
      <c r="K33" s="6" t="s">
        <v>497</v>
      </c>
      <c r="L33" s="6">
        <v>765.22</v>
      </c>
      <c r="M33" s="6" t="s">
        <v>38</v>
      </c>
      <c r="N33" s="6" t="s">
        <v>78</v>
      </c>
    </row>
    <row r="34" spans="1:14" x14ac:dyDescent="0.3">
      <c r="A34" s="6" t="s">
        <v>501</v>
      </c>
      <c r="B34" s="6" t="s">
        <v>81</v>
      </c>
      <c r="C34" s="7">
        <v>1010880886</v>
      </c>
      <c r="D34" s="7"/>
      <c r="E34" s="6" t="s">
        <v>14</v>
      </c>
      <c r="F34" s="8" t="s">
        <v>15</v>
      </c>
      <c r="G34" s="9">
        <v>45657</v>
      </c>
      <c r="H34" s="9">
        <v>46022</v>
      </c>
      <c r="I34" s="6" t="s">
        <v>82</v>
      </c>
      <c r="J34" s="10"/>
      <c r="K34" s="6" t="s">
        <v>495</v>
      </c>
      <c r="L34" s="6"/>
      <c r="M34" s="6"/>
      <c r="N34" s="6" t="s">
        <v>83</v>
      </c>
    </row>
    <row r="35" spans="1:14" x14ac:dyDescent="0.3">
      <c r="A35" s="6" t="s">
        <v>502</v>
      </c>
      <c r="B35" s="6" t="s">
        <v>79</v>
      </c>
      <c r="C35" s="7">
        <v>21043245494</v>
      </c>
      <c r="D35" s="7"/>
      <c r="E35" s="6" t="s">
        <v>50</v>
      </c>
      <c r="F35" s="8">
        <v>307000156172957</v>
      </c>
      <c r="G35" s="9">
        <v>45657</v>
      </c>
      <c r="H35" s="9">
        <v>46022</v>
      </c>
      <c r="I35" s="6" t="s">
        <v>80</v>
      </c>
      <c r="J35" s="10">
        <v>9964.4</v>
      </c>
      <c r="K35" s="6" t="s">
        <v>497</v>
      </c>
      <c r="L35" s="6">
        <v>1342.17</v>
      </c>
      <c r="M35" s="6" t="s">
        <v>71</v>
      </c>
      <c r="N35" s="6"/>
    </row>
    <row r="36" spans="1:14" x14ac:dyDescent="0.3">
      <c r="A36" s="6" t="s">
        <v>502</v>
      </c>
      <c r="B36" s="6" t="s">
        <v>76</v>
      </c>
      <c r="C36" s="7">
        <v>50851756052</v>
      </c>
      <c r="D36" s="7">
        <v>5354182008</v>
      </c>
      <c r="E36" s="6" t="s">
        <v>50</v>
      </c>
      <c r="F36" s="8">
        <v>307000156217872</v>
      </c>
      <c r="G36" s="9">
        <v>45657</v>
      </c>
      <c r="H36" s="9">
        <v>46022</v>
      </c>
      <c r="I36" s="6" t="s">
        <v>77</v>
      </c>
      <c r="J36" s="10">
        <v>11719.48</v>
      </c>
      <c r="K36" s="6" t="s">
        <v>497</v>
      </c>
      <c r="L36" s="6">
        <v>1592.9</v>
      </c>
      <c r="M36" s="6" t="s">
        <v>71</v>
      </c>
      <c r="N36" s="6" t="s">
        <v>78</v>
      </c>
    </row>
    <row r="37" spans="1:14" x14ac:dyDescent="0.3">
      <c r="A37" s="6" t="s">
        <v>502</v>
      </c>
      <c r="B37" s="6" t="s">
        <v>84</v>
      </c>
      <c r="C37" s="7">
        <v>15785037950</v>
      </c>
      <c r="D37" s="7"/>
      <c r="E37" s="6" t="s">
        <v>14</v>
      </c>
      <c r="F37" s="8">
        <v>100000330050064</v>
      </c>
      <c r="G37" s="9">
        <v>45662</v>
      </c>
      <c r="H37" s="9">
        <v>46027</v>
      </c>
      <c r="I37" s="6" t="s">
        <v>85</v>
      </c>
      <c r="J37" s="10">
        <v>19777.97</v>
      </c>
      <c r="K37" s="6" t="s">
        <v>498</v>
      </c>
      <c r="L37" s="6">
        <v>1803.28</v>
      </c>
      <c r="M37" s="6" t="s">
        <v>64</v>
      </c>
      <c r="N37" s="6" t="s">
        <v>86</v>
      </c>
    </row>
    <row r="38" spans="1:14" x14ac:dyDescent="0.3">
      <c r="A38" s="6" t="s">
        <v>502</v>
      </c>
      <c r="B38" s="6" t="s">
        <v>90</v>
      </c>
      <c r="C38" s="7">
        <v>31598117634</v>
      </c>
      <c r="D38" s="7"/>
      <c r="E38" s="6" t="s">
        <v>56</v>
      </c>
      <c r="F38" s="8" t="s">
        <v>91</v>
      </c>
      <c r="G38" s="9">
        <v>45664</v>
      </c>
      <c r="H38" s="9">
        <v>46029</v>
      </c>
      <c r="I38" s="6"/>
      <c r="J38" s="10">
        <v>25478</v>
      </c>
      <c r="K38" s="6" t="s">
        <v>498</v>
      </c>
      <c r="L38" s="6">
        <v>3821.7</v>
      </c>
      <c r="M38" s="6" t="s">
        <v>57</v>
      </c>
      <c r="N38" s="6">
        <v>32309</v>
      </c>
    </row>
    <row r="39" spans="1:14" x14ac:dyDescent="0.3">
      <c r="A39" s="6" t="s">
        <v>501</v>
      </c>
      <c r="B39" s="6" t="s">
        <v>13</v>
      </c>
      <c r="C39" s="7">
        <v>6211022844</v>
      </c>
      <c r="D39" s="7"/>
      <c r="E39" s="6" t="s">
        <v>14</v>
      </c>
      <c r="F39" s="8">
        <v>100000330439781</v>
      </c>
      <c r="G39" s="9">
        <v>45666</v>
      </c>
      <c r="H39" s="9">
        <v>46031</v>
      </c>
      <c r="I39" s="6" t="s">
        <v>92</v>
      </c>
      <c r="J39" s="10">
        <v>37322</v>
      </c>
      <c r="K39" s="6" t="s">
        <v>495</v>
      </c>
      <c r="L39" s="6">
        <v>3382.85</v>
      </c>
      <c r="M39" s="6" t="s">
        <v>64</v>
      </c>
      <c r="N39" s="6" t="s">
        <v>93</v>
      </c>
    </row>
    <row r="40" spans="1:14" x14ac:dyDescent="0.3">
      <c r="A40" s="6" t="s">
        <v>501</v>
      </c>
      <c r="B40" s="6" t="s">
        <v>13</v>
      </c>
      <c r="C40" s="7">
        <v>6211022844</v>
      </c>
      <c r="D40" s="7"/>
      <c r="E40" s="6" t="s">
        <v>14</v>
      </c>
      <c r="F40" s="8">
        <v>100000330448480</v>
      </c>
      <c r="G40" s="9">
        <v>45666</v>
      </c>
      <c r="H40" s="9">
        <v>46031</v>
      </c>
      <c r="I40" s="6" t="s">
        <v>94</v>
      </c>
      <c r="J40" s="10">
        <v>37322</v>
      </c>
      <c r="K40" s="6" t="s">
        <v>495</v>
      </c>
      <c r="L40" s="6">
        <v>3382.85</v>
      </c>
      <c r="M40" s="6" t="s">
        <v>64</v>
      </c>
      <c r="N40" s="6"/>
    </row>
    <row r="41" spans="1:14" x14ac:dyDescent="0.3">
      <c r="A41" s="6" t="s">
        <v>501</v>
      </c>
      <c r="B41" s="6" t="s">
        <v>13</v>
      </c>
      <c r="C41" s="7">
        <v>6211022844</v>
      </c>
      <c r="D41" s="7"/>
      <c r="E41" s="6" t="s">
        <v>14</v>
      </c>
      <c r="F41" s="8">
        <v>100000330448980</v>
      </c>
      <c r="G41" s="9">
        <v>45666</v>
      </c>
      <c r="H41" s="9">
        <v>46031</v>
      </c>
      <c r="I41" s="6" t="s">
        <v>95</v>
      </c>
      <c r="J41" s="10">
        <v>37322</v>
      </c>
      <c r="K41" s="6" t="s">
        <v>495</v>
      </c>
      <c r="L41" s="6">
        <v>3382.85</v>
      </c>
      <c r="M41" s="6" t="s">
        <v>64</v>
      </c>
      <c r="N41" s="6"/>
    </row>
    <row r="42" spans="1:14" x14ac:dyDescent="0.3">
      <c r="A42" s="6" t="s">
        <v>502</v>
      </c>
      <c r="B42" s="6" t="s">
        <v>88</v>
      </c>
      <c r="C42" s="7">
        <v>18209568290</v>
      </c>
      <c r="D42" s="7"/>
      <c r="E42" s="6" t="s">
        <v>14</v>
      </c>
      <c r="F42" s="8" t="s">
        <v>15</v>
      </c>
      <c r="G42" s="9">
        <v>45666</v>
      </c>
      <c r="H42" s="9">
        <v>46031</v>
      </c>
      <c r="I42" s="6" t="s">
        <v>89</v>
      </c>
      <c r="J42" s="10"/>
      <c r="K42" s="6" t="s">
        <v>495</v>
      </c>
      <c r="L42" s="6"/>
      <c r="M42" s="6" t="s">
        <v>52</v>
      </c>
      <c r="N42" s="6">
        <v>28968</v>
      </c>
    </row>
    <row r="43" spans="1:14" x14ac:dyDescent="0.3">
      <c r="A43" s="6" t="s">
        <v>501</v>
      </c>
      <c r="B43" s="6" t="s">
        <v>81</v>
      </c>
      <c r="C43" s="7">
        <v>1010880886</v>
      </c>
      <c r="D43" s="7"/>
      <c r="E43" s="6" t="s">
        <v>50</v>
      </c>
      <c r="F43" s="8" t="s">
        <v>15</v>
      </c>
      <c r="G43" s="9">
        <v>45669</v>
      </c>
      <c r="H43" s="9">
        <v>46034</v>
      </c>
      <c r="I43" s="6" t="s">
        <v>82</v>
      </c>
      <c r="J43" s="10"/>
      <c r="K43" s="6" t="s">
        <v>495</v>
      </c>
      <c r="L43" s="6"/>
      <c r="M43" s="6"/>
      <c r="N43" s="6" t="s">
        <v>83</v>
      </c>
    </row>
    <row r="44" spans="1:14" x14ac:dyDescent="0.3">
      <c r="A44" s="6" t="s">
        <v>501</v>
      </c>
      <c r="B44" s="6" t="s">
        <v>99</v>
      </c>
      <c r="C44" s="7">
        <v>4811196831</v>
      </c>
      <c r="D44" s="7"/>
      <c r="E44" s="6" t="s">
        <v>50</v>
      </c>
      <c r="F44" s="8">
        <v>333000020356587</v>
      </c>
      <c r="G44" s="9">
        <v>45670</v>
      </c>
      <c r="H44" s="9">
        <v>46035</v>
      </c>
      <c r="I44" s="6" t="s">
        <v>100</v>
      </c>
      <c r="J44" s="10">
        <v>171611.13</v>
      </c>
      <c r="K44" s="6" t="s">
        <v>495</v>
      </c>
      <c r="L44" s="6">
        <v>24352.91</v>
      </c>
      <c r="M44" s="6" t="s">
        <v>71</v>
      </c>
      <c r="N44" s="6"/>
    </row>
    <row r="45" spans="1:14" x14ac:dyDescent="0.3">
      <c r="A45" s="6" t="s">
        <v>502</v>
      </c>
      <c r="B45" s="6" t="s">
        <v>96</v>
      </c>
      <c r="C45" s="7">
        <v>44572687856</v>
      </c>
      <c r="D45" s="7"/>
      <c r="E45" s="6" t="s">
        <v>60</v>
      </c>
      <c r="F45" s="8">
        <v>41016340</v>
      </c>
      <c r="G45" s="9">
        <v>45670</v>
      </c>
      <c r="H45" s="9">
        <v>46035</v>
      </c>
      <c r="I45" s="6"/>
      <c r="J45" s="10">
        <v>1238</v>
      </c>
      <c r="K45" s="6" t="s">
        <v>498</v>
      </c>
      <c r="L45" s="6">
        <v>228.24</v>
      </c>
      <c r="M45" s="6" t="s">
        <v>97</v>
      </c>
      <c r="N45" s="6" t="s">
        <v>98</v>
      </c>
    </row>
    <row r="46" spans="1:14" x14ac:dyDescent="0.3">
      <c r="A46" s="6" t="s">
        <v>502</v>
      </c>
      <c r="B46" s="6" t="s">
        <v>36</v>
      </c>
      <c r="C46" s="7">
        <v>18164569752</v>
      </c>
      <c r="D46" s="7"/>
      <c r="E46" s="6" t="s">
        <v>112</v>
      </c>
      <c r="F46" s="8">
        <v>357296</v>
      </c>
      <c r="G46" s="9">
        <v>45672</v>
      </c>
      <c r="H46" s="9">
        <v>46037</v>
      </c>
      <c r="I46" s="6"/>
      <c r="J46" s="10">
        <v>50692</v>
      </c>
      <c r="K46" s="6" t="s">
        <v>495</v>
      </c>
      <c r="L46" s="6"/>
      <c r="M46" s="6" t="s">
        <v>57</v>
      </c>
      <c r="N46" s="6" t="s">
        <v>113</v>
      </c>
    </row>
    <row r="47" spans="1:14" x14ac:dyDescent="0.3">
      <c r="A47" s="6" t="s">
        <v>502</v>
      </c>
      <c r="B47" s="6" t="s">
        <v>90</v>
      </c>
      <c r="C47" s="7">
        <v>31598117634</v>
      </c>
      <c r="D47" s="7"/>
      <c r="E47" s="6" t="s">
        <v>14</v>
      </c>
      <c r="F47" s="8">
        <v>113082331</v>
      </c>
      <c r="G47" s="9">
        <v>45672</v>
      </c>
      <c r="H47" s="9">
        <v>46037</v>
      </c>
      <c r="I47" s="6" t="s">
        <v>101</v>
      </c>
      <c r="J47" s="10">
        <v>20246.52</v>
      </c>
      <c r="K47" s="6" t="s">
        <v>497</v>
      </c>
      <c r="L47" s="6">
        <v>1835.39</v>
      </c>
      <c r="M47" s="6" t="s">
        <v>61</v>
      </c>
      <c r="N47" s="6" t="s">
        <v>102</v>
      </c>
    </row>
    <row r="48" spans="1:14" x14ac:dyDescent="0.3">
      <c r="A48" s="6" t="s">
        <v>502</v>
      </c>
      <c r="B48" s="6" t="s">
        <v>104</v>
      </c>
      <c r="C48" s="7">
        <v>69805191504</v>
      </c>
      <c r="D48" s="7">
        <v>5530987706</v>
      </c>
      <c r="E48" s="6" t="s">
        <v>50</v>
      </c>
      <c r="F48" s="8">
        <v>307000157803931</v>
      </c>
      <c r="G48" s="9">
        <v>45672</v>
      </c>
      <c r="H48" s="9">
        <v>46037</v>
      </c>
      <c r="I48" s="6" t="s">
        <v>105</v>
      </c>
      <c r="J48" s="10">
        <v>15462.35</v>
      </c>
      <c r="K48" s="6" t="s">
        <v>498</v>
      </c>
      <c r="L48" s="6">
        <v>2127.59</v>
      </c>
      <c r="M48" s="6" t="s">
        <v>71</v>
      </c>
      <c r="N48" s="6"/>
    </row>
    <row r="49" spans="1:14" x14ac:dyDescent="0.3">
      <c r="A49" s="6" t="s">
        <v>502</v>
      </c>
      <c r="B49" s="6" t="s">
        <v>84</v>
      </c>
      <c r="C49" s="7">
        <v>15785037950</v>
      </c>
      <c r="D49" s="7"/>
      <c r="E49" s="6" t="s">
        <v>50</v>
      </c>
      <c r="F49" s="8">
        <v>351000066662336</v>
      </c>
      <c r="G49" s="9">
        <v>45662</v>
      </c>
      <c r="H49" s="9">
        <v>46038</v>
      </c>
      <c r="I49" s="6" t="s">
        <v>85</v>
      </c>
      <c r="J49" s="10">
        <v>9606.98</v>
      </c>
      <c r="K49" s="6" t="s">
        <v>498</v>
      </c>
      <c r="L49" s="6">
        <v>1372.43</v>
      </c>
      <c r="M49" s="6" t="s">
        <v>38</v>
      </c>
      <c r="N49" s="6" t="s">
        <v>87</v>
      </c>
    </row>
    <row r="50" spans="1:14" x14ac:dyDescent="0.3">
      <c r="A50" s="6" t="s">
        <v>502</v>
      </c>
      <c r="B50" s="6" t="s">
        <v>106</v>
      </c>
      <c r="C50" s="7">
        <v>21188076632</v>
      </c>
      <c r="D50" s="7"/>
      <c r="E50" s="6" t="s">
        <v>14</v>
      </c>
      <c r="F50" s="8" t="s">
        <v>15</v>
      </c>
      <c r="G50" s="9">
        <v>45674</v>
      </c>
      <c r="H50" s="9">
        <v>46039</v>
      </c>
      <c r="I50" s="6" t="s">
        <v>107</v>
      </c>
      <c r="J50" s="10"/>
      <c r="K50" s="6" t="s">
        <v>498</v>
      </c>
      <c r="L50" s="6">
        <v>1127.8699999999999</v>
      </c>
      <c r="M50" s="6" t="s">
        <v>108</v>
      </c>
      <c r="N50" s="6"/>
    </row>
    <row r="51" spans="1:14" x14ac:dyDescent="0.3">
      <c r="A51" s="6" t="s">
        <v>502</v>
      </c>
      <c r="B51" s="6" t="s">
        <v>106</v>
      </c>
      <c r="C51" s="7">
        <v>21188076632</v>
      </c>
      <c r="D51" s="7"/>
      <c r="E51" s="6" t="s">
        <v>50</v>
      </c>
      <c r="F51" s="8" t="s">
        <v>15</v>
      </c>
      <c r="G51" s="9">
        <v>45674</v>
      </c>
      <c r="H51" s="9">
        <v>46039</v>
      </c>
      <c r="I51" s="6" t="s">
        <v>107</v>
      </c>
      <c r="J51" s="10"/>
      <c r="K51" s="6" t="s">
        <v>498</v>
      </c>
      <c r="L51" s="6"/>
      <c r="M51" s="6" t="s">
        <v>71</v>
      </c>
      <c r="N51" s="6" t="s">
        <v>109</v>
      </c>
    </row>
    <row r="52" spans="1:14" x14ac:dyDescent="0.3">
      <c r="A52" s="6" t="s">
        <v>501</v>
      </c>
      <c r="B52" s="6" t="s">
        <v>114</v>
      </c>
      <c r="C52" s="7">
        <v>5480440710</v>
      </c>
      <c r="D52" s="7"/>
      <c r="E52" s="6" t="s">
        <v>14</v>
      </c>
      <c r="F52" s="8">
        <v>801247075</v>
      </c>
      <c r="G52" s="9">
        <v>45676</v>
      </c>
      <c r="H52" s="9">
        <v>46041</v>
      </c>
      <c r="I52" s="6" t="s">
        <v>115</v>
      </c>
      <c r="J52" s="10">
        <v>18211</v>
      </c>
      <c r="K52" s="6" t="s">
        <v>495</v>
      </c>
      <c r="L52" s="6"/>
      <c r="M52" s="6" t="s">
        <v>116</v>
      </c>
      <c r="N52" s="6" t="s">
        <v>117</v>
      </c>
    </row>
    <row r="53" spans="1:14" x14ac:dyDescent="0.3">
      <c r="A53" s="6" t="s">
        <v>502</v>
      </c>
      <c r="B53" s="6" t="s">
        <v>110</v>
      </c>
      <c r="C53" s="7">
        <v>62323222248</v>
      </c>
      <c r="D53" s="7">
        <v>5334482661</v>
      </c>
      <c r="E53" s="6" t="s">
        <v>60</v>
      </c>
      <c r="F53" s="8">
        <v>14443378</v>
      </c>
      <c r="G53" s="9">
        <v>45676</v>
      </c>
      <c r="H53" s="9">
        <v>46041</v>
      </c>
      <c r="I53" s="6"/>
      <c r="J53" s="10">
        <v>1268</v>
      </c>
      <c r="K53" s="6" t="s">
        <v>498</v>
      </c>
      <c r="L53" s="6">
        <v>228.24</v>
      </c>
      <c r="M53" s="6" t="s">
        <v>61</v>
      </c>
      <c r="N53" s="6" t="s">
        <v>111</v>
      </c>
    </row>
    <row r="54" spans="1:14" x14ac:dyDescent="0.3">
      <c r="A54" s="6" t="s">
        <v>501</v>
      </c>
      <c r="B54" s="6" t="s">
        <v>114</v>
      </c>
      <c r="C54" s="7">
        <v>5480440710</v>
      </c>
      <c r="D54" s="7"/>
      <c r="E54" s="6" t="s">
        <v>14</v>
      </c>
      <c r="F54" s="8">
        <v>801245421</v>
      </c>
      <c r="G54" s="9">
        <v>45677</v>
      </c>
      <c r="H54" s="9">
        <v>46042</v>
      </c>
      <c r="I54" s="6" t="s">
        <v>118</v>
      </c>
      <c r="J54" s="10">
        <v>15175.99</v>
      </c>
      <c r="K54" s="6" t="s">
        <v>495</v>
      </c>
      <c r="L54" s="6"/>
      <c r="M54" s="6" t="s">
        <v>116</v>
      </c>
      <c r="N54" s="6" t="s">
        <v>117</v>
      </c>
    </row>
    <row r="55" spans="1:14" x14ac:dyDescent="0.3">
      <c r="A55" s="6" t="s">
        <v>501</v>
      </c>
      <c r="B55" s="6" t="s">
        <v>114</v>
      </c>
      <c r="C55" s="7">
        <v>5480440710</v>
      </c>
      <c r="D55" s="7"/>
      <c r="E55" s="6" t="s">
        <v>14</v>
      </c>
      <c r="F55" s="8">
        <v>801252408</v>
      </c>
      <c r="G55" s="9">
        <v>45680</v>
      </c>
      <c r="H55" s="9">
        <v>46045</v>
      </c>
      <c r="I55" s="6" t="s">
        <v>119</v>
      </c>
      <c r="J55" s="10">
        <v>18211</v>
      </c>
      <c r="K55" s="6" t="s">
        <v>495</v>
      </c>
      <c r="L55" s="6"/>
      <c r="M55" s="6" t="s">
        <v>116</v>
      </c>
      <c r="N55" s="6" t="s">
        <v>117</v>
      </c>
    </row>
    <row r="56" spans="1:14" x14ac:dyDescent="0.3">
      <c r="A56" s="6" t="s">
        <v>501</v>
      </c>
      <c r="B56" s="6" t="s">
        <v>114</v>
      </c>
      <c r="C56" s="7">
        <v>5480440710</v>
      </c>
      <c r="D56" s="7"/>
      <c r="E56" s="6" t="s">
        <v>14</v>
      </c>
      <c r="F56" s="8">
        <v>801254539</v>
      </c>
      <c r="G56" s="9">
        <v>45680</v>
      </c>
      <c r="H56" s="9">
        <v>46045</v>
      </c>
      <c r="I56" s="6" t="s">
        <v>120</v>
      </c>
      <c r="J56" s="10">
        <v>18211</v>
      </c>
      <c r="K56" s="6" t="s">
        <v>495</v>
      </c>
      <c r="L56" s="6"/>
      <c r="M56" s="6" t="s">
        <v>116</v>
      </c>
      <c r="N56" s="6" t="s">
        <v>117</v>
      </c>
    </row>
    <row r="57" spans="1:14" x14ac:dyDescent="0.3">
      <c r="A57" s="6" t="s">
        <v>501</v>
      </c>
      <c r="B57" s="6" t="s">
        <v>114</v>
      </c>
      <c r="C57" s="7">
        <v>5480440710</v>
      </c>
      <c r="D57" s="7"/>
      <c r="E57" s="6" t="s">
        <v>14</v>
      </c>
      <c r="F57" s="8">
        <v>801256202</v>
      </c>
      <c r="G57" s="9">
        <v>45680</v>
      </c>
      <c r="H57" s="9">
        <v>46045</v>
      </c>
      <c r="I57" s="6" t="s">
        <v>121</v>
      </c>
      <c r="J57" s="10">
        <v>18211</v>
      </c>
      <c r="K57" s="6" t="s">
        <v>495</v>
      </c>
      <c r="L57" s="6"/>
      <c r="M57" s="6" t="s">
        <v>116</v>
      </c>
      <c r="N57" s="6" t="s">
        <v>117</v>
      </c>
    </row>
    <row r="58" spans="1:14" x14ac:dyDescent="0.3">
      <c r="A58" s="6" t="s">
        <v>501</v>
      </c>
      <c r="B58" s="6" t="s">
        <v>114</v>
      </c>
      <c r="C58" s="7">
        <v>5480440710</v>
      </c>
      <c r="D58" s="7"/>
      <c r="E58" s="6" t="s">
        <v>14</v>
      </c>
      <c r="F58" s="8">
        <v>801259069</v>
      </c>
      <c r="G58" s="9">
        <v>45680</v>
      </c>
      <c r="H58" s="9">
        <v>46045</v>
      </c>
      <c r="I58" s="6" t="s">
        <v>122</v>
      </c>
      <c r="J58" s="10">
        <v>15175.99</v>
      </c>
      <c r="K58" s="6" t="s">
        <v>495</v>
      </c>
      <c r="L58" s="6"/>
      <c r="M58" s="6" t="s">
        <v>116</v>
      </c>
      <c r="N58" s="6" t="s">
        <v>117</v>
      </c>
    </row>
    <row r="59" spans="1:14" x14ac:dyDescent="0.3">
      <c r="A59" s="6" t="s">
        <v>501</v>
      </c>
      <c r="B59" s="6" t="s">
        <v>41</v>
      </c>
      <c r="C59" s="7">
        <v>7680022666</v>
      </c>
      <c r="D59" s="7"/>
      <c r="E59" s="6" t="s">
        <v>14</v>
      </c>
      <c r="F59" s="8">
        <v>801382894</v>
      </c>
      <c r="G59" s="9">
        <v>45677</v>
      </c>
      <c r="H59" s="9">
        <v>46045</v>
      </c>
      <c r="I59" s="6" t="s">
        <v>123</v>
      </c>
      <c r="J59" s="10">
        <v>26708.799999999999</v>
      </c>
      <c r="K59" s="6" t="s">
        <v>495</v>
      </c>
      <c r="L59" s="6"/>
      <c r="M59" s="6" t="s">
        <v>116</v>
      </c>
      <c r="N59" s="6" t="s">
        <v>117</v>
      </c>
    </row>
    <row r="60" spans="1:14" x14ac:dyDescent="0.3">
      <c r="A60" s="6" t="s">
        <v>502</v>
      </c>
      <c r="B60" s="6" t="s">
        <v>79</v>
      </c>
      <c r="C60" s="7">
        <v>21043245494</v>
      </c>
      <c r="D60" s="7"/>
      <c r="E60" s="6" t="s">
        <v>56</v>
      </c>
      <c r="F60" s="8">
        <v>602000004391460</v>
      </c>
      <c r="G60" s="9">
        <v>45680</v>
      </c>
      <c r="H60" s="9">
        <v>46045</v>
      </c>
      <c r="I60" s="6"/>
      <c r="J60" s="10">
        <v>40159.83</v>
      </c>
      <c r="K60" s="6" t="s">
        <v>497</v>
      </c>
      <c r="L60" s="6">
        <v>8031.97</v>
      </c>
      <c r="M60" s="6" t="s">
        <v>38</v>
      </c>
      <c r="N60" s="6" t="s">
        <v>103</v>
      </c>
    </row>
    <row r="61" spans="1:14" x14ac:dyDescent="0.3">
      <c r="A61" s="6" t="s">
        <v>502</v>
      </c>
      <c r="B61" s="6" t="s">
        <v>135</v>
      </c>
      <c r="C61" s="7">
        <v>45121766800</v>
      </c>
      <c r="D61" s="7"/>
      <c r="E61" s="6"/>
      <c r="F61" s="8">
        <v>299891018495</v>
      </c>
      <c r="G61" s="9">
        <v>45680</v>
      </c>
      <c r="H61" s="9">
        <v>46045</v>
      </c>
      <c r="I61" s="6" t="s">
        <v>136</v>
      </c>
      <c r="J61" s="10">
        <v>11994.19</v>
      </c>
      <c r="K61" s="6" t="s">
        <v>498</v>
      </c>
      <c r="L61" s="6">
        <v>669.72</v>
      </c>
      <c r="M61" s="6" t="s">
        <v>137</v>
      </c>
      <c r="N61" s="6" t="s">
        <v>138</v>
      </c>
    </row>
    <row r="62" spans="1:14" x14ac:dyDescent="0.3">
      <c r="A62" s="6" t="s">
        <v>502</v>
      </c>
      <c r="B62" s="6" t="s">
        <v>131</v>
      </c>
      <c r="C62" s="7">
        <v>48433709176</v>
      </c>
      <c r="D62" s="7">
        <v>5320625427</v>
      </c>
      <c r="E62" s="6" t="s">
        <v>132</v>
      </c>
      <c r="F62" s="8">
        <v>82169225</v>
      </c>
      <c r="G62" s="9">
        <v>45680</v>
      </c>
      <c r="H62" s="9">
        <v>46045</v>
      </c>
      <c r="I62" s="6"/>
      <c r="J62" s="10">
        <v>1268</v>
      </c>
      <c r="K62" s="6" t="s">
        <v>497</v>
      </c>
      <c r="L62" s="6">
        <v>196.54</v>
      </c>
      <c r="M62" s="6" t="s">
        <v>61</v>
      </c>
      <c r="N62" s="6" t="s">
        <v>133</v>
      </c>
    </row>
    <row r="63" spans="1:14" x14ac:dyDescent="0.3">
      <c r="A63" s="6" t="s">
        <v>501</v>
      </c>
      <c r="B63" s="6" t="s">
        <v>124</v>
      </c>
      <c r="C63" s="7">
        <v>6211022844</v>
      </c>
      <c r="D63" s="7"/>
      <c r="E63" s="6" t="s">
        <v>14</v>
      </c>
      <c r="F63" s="8">
        <v>801270062</v>
      </c>
      <c r="G63" s="9">
        <v>45681</v>
      </c>
      <c r="H63" s="9">
        <v>46046</v>
      </c>
      <c r="I63" s="6" t="s">
        <v>125</v>
      </c>
      <c r="J63" s="10">
        <v>44009.99</v>
      </c>
      <c r="K63" s="6" t="s">
        <v>495</v>
      </c>
      <c r="L63" s="6"/>
      <c r="M63" s="6" t="s">
        <v>116</v>
      </c>
      <c r="N63" s="6" t="s">
        <v>117</v>
      </c>
    </row>
    <row r="64" spans="1:14" x14ac:dyDescent="0.3">
      <c r="A64" s="6" t="s">
        <v>501</v>
      </c>
      <c r="B64" s="6" t="s">
        <v>124</v>
      </c>
      <c r="C64" s="7">
        <v>6211022844</v>
      </c>
      <c r="D64" s="7"/>
      <c r="E64" s="6" t="s">
        <v>14</v>
      </c>
      <c r="F64" s="8">
        <v>801272195</v>
      </c>
      <c r="G64" s="9">
        <v>45681</v>
      </c>
      <c r="H64" s="9">
        <v>46046</v>
      </c>
      <c r="I64" s="6" t="s">
        <v>126</v>
      </c>
      <c r="J64" s="10">
        <v>18211</v>
      </c>
      <c r="K64" s="6" t="s">
        <v>495</v>
      </c>
      <c r="L64" s="6"/>
      <c r="M64" s="6" t="s">
        <v>116</v>
      </c>
      <c r="N64" s="6" t="s">
        <v>117</v>
      </c>
    </row>
    <row r="65" spans="1:14" x14ac:dyDescent="0.3">
      <c r="A65" s="6" t="s">
        <v>501</v>
      </c>
      <c r="B65" s="6" t="s">
        <v>124</v>
      </c>
      <c r="C65" s="7">
        <v>6211022844</v>
      </c>
      <c r="D65" s="7"/>
      <c r="E65" s="6" t="s">
        <v>14</v>
      </c>
      <c r="F65" s="8">
        <v>801276110</v>
      </c>
      <c r="G65" s="9">
        <v>45680</v>
      </c>
      <c r="H65" s="9">
        <v>46046</v>
      </c>
      <c r="I65" s="6" t="s">
        <v>127</v>
      </c>
      <c r="J65" s="10">
        <v>28833.99</v>
      </c>
      <c r="K65" s="6" t="s">
        <v>495</v>
      </c>
      <c r="L65" s="6"/>
      <c r="M65" s="6" t="s">
        <v>116</v>
      </c>
      <c r="N65" s="6" t="s">
        <v>117</v>
      </c>
    </row>
    <row r="66" spans="1:14" x14ac:dyDescent="0.3">
      <c r="A66" s="6" t="s">
        <v>501</v>
      </c>
      <c r="B66" s="6" t="s">
        <v>124</v>
      </c>
      <c r="C66" s="7">
        <v>6211022844</v>
      </c>
      <c r="D66" s="7"/>
      <c r="E66" s="6" t="s">
        <v>14</v>
      </c>
      <c r="F66" s="8">
        <v>801278052</v>
      </c>
      <c r="G66" s="9">
        <v>45681</v>
      </c>
      <c r="H66" s="9">
        <v>46046</v>
      </c>
      <c r="I66" s="6" t="s">
        <v>128</v>
      </c>
      <c r="J66" s="10">
        <v>71326</v>
      </c>
      <c r="K66" s="6" t="s">
        <v>495</v>
      </c>
      <c r="L66" s="6"/>
      <c r="M66" s="6" t="s">
        <v>116</v>
      </c>
      <c r="N66" s="6" t="s">
        <v>117</v>
      </c>
    </row>
    <row r="67" spans="1:14" x14ac:dyDescent="0.3">
      <c r="A67" s="6" t="s">
        <v>501</v>
      </c>
      <c r="B67" s="6" t="s">
        <v>124</v>
      </c>
      <c r="C67" s="7">
        <v>6211022844</v>
      </c>
      <c r="D67" s="7"/>
      <c r="E67" s="6" t="s">
        <v>14</v>
      </c>
      <c r="F67" s="8">
        <v>801279722</v>
      </c>
      <c r="G67" s="9">
        <v>45682</v>
      </c>
      <c r="H67" s="9">
        <v>46046</v>
      </c>
      <c r="I67" s="6" t="s">
        <v>129</v>
      </c>
      <c r="J67" s="10">
        <v>46019.99</v>
      </c>
      <c r="K67" s="6" t="s">
        <v>495</v>
      </c>
      <c r="L67" s="6"/>
      <c r="M67" s="6" t="s">
        <v>116</v>
      </c>
      <c r="N67" s="6" t="s">
        <v>117</v>
      </c>
    </row>
    <row r="68" spans="1:14" x14ac:dyDescent="0.3">
      <c r="A68" s="6" t="s">
        <v>501</v>
      </c>
      <c r="B68" s="6" t="s">
        <v>124</v>
      </c>
      <c r="C68" s="7">
        <v>6211022844</v>
      </c>
      <c r="D68" s="7"/>
      <c r="E68" s="6" t="s">
        <v>14</v>
      </c>
      <c r="F68" s="8">
        <v>801282880</v>
      </c>
      <c r="G68" s="9">
        <v>45683</v>
      </c>
      <c r="H68" s="9">
        <v>46046</v>
      </c>
      <c r="I68" s="6" t="s">
        <v>130</v>
      </c>
      <c r="J68" s="10">
        <v>16032.99</v>
      </c>
      <c r="K68" s="6" t="s">
        <v>495</v>
      </c>
      <c r="L68" s="6"/>
      <c r="M68" s="6" t="s">
        <v>116</v>
      </c>
      <c r="N68" s="6" t="s">
        <v>117</v>
      </c>
    </row>
    <row r="69" spans="1:14" x14ac:dyDescent="0.3">
      <c r="A69" s="6" t="s">
        <v>501</v>
      </c>
      <c r="B69" s="6" t="s">
        <v>41</v>
      </c>
      <c r="C69" s="7">
        <v>7680022666</v>
      </c>
      <c r="D69" s="7"/>
      <c r="E69" s="6" t="s">
        <v>50</v>
      </c>
      <c r="F69" s="8">
        <v>1021061459054</v>
      </c>
      <c r="G69" s="9">
        <v>45681</v>
      </c>
      <c r="H69" s="9">
        <v>46046</v>
      </c>
      <c r="I69" s="6" t="s">
        <v>123</v>
      </c>
      <c r="J69" s="10">
        <v>42524.09</v>
      </c>
      <c r="K69" s="6" t="s">
        <v>495</v>
      </c>
      <c r="L69" s="6">
        <f>6074.89*0.6</f>
        <v>3644.9340000000002</v>
      </c>
      <c r="M69" s="6" t="s">
        <v>108</v>
      </c>
      <c r="N69" s="6"/>
    </row>
    <row r="70" spans="1:14" x14ac:dyDescent="0.3">
      <c r="A70" s="6" t="s">
        <v>502</v>
      </c>
      <c r="B70" s="6" t="s">
        <v>139</v>
      </c>
      <c r="C70" s="7">
        <v>30040387106</v>
      </c>
      <c r="D70" s="7"/>
      <c r="E70" s="6" t="s">
        <v>50</v>
      </c>
      <c r="F70" s="8" t="s">
        <v>15</v>
      </c>
      <c r="G70" s="9">
        <v>45681</v>
      </c>
      <c r="H70" s="9">
        <v>46046</v>
      </c>
      <c r="I70" s="6" t="s">
        <v>140</v>
      </c>
      <c r="J70" s="10"/>
      <c r="K70" s="6" t="s">
        <v>495</v>
      </c>
      <c r="L70" s="6"/>
      <c r="M70" s="6" t="s">
        <v>137</v>
      </c>
      <c r="N70" s="6" t="s">
        <v>141</v>
      </c>
    </row>
    <row r="71" spans="1:14" x14ac:dyDescent="0.3">
      <c r="A71" s="6" t="s">
        <v>502</v>
      </c>
      <c r="B71" s="6" t="s">
        <v>139</v>
      </c>
      <c r="C71" s="7">
        <v>30040387106</v>
      </c>
      <c r="D71" s="7"/>
      <c r="E71" s="6" t="s">
        <v>14</v>
      </c>
      <c r="F71" s="8" t="s">
        <v>15</v>
      </c>
      <c r="G71" s="9">
        <v>45683</v>
      </c>
      <c r="H71" s="9">
        <v>46048</v>
      </c>
      <c r="I71" s="6" t="s">
        <v>140</v>
      </c>
      <c r="J71" s="10"/>
      <c r="K71" s="6" t="s">
        <v>495</v>
      </c>
      <c r="L71" s="6"/>
      <c r="M71" s="6" t="s">
        <v>137</v>
      </c>
      <c r="N71" s="6" t="s">
        <v>141</v>
      </c>
    </row>
    <row r="72" spans="1:14" x14ac:dyDescent="0.3">
      <c r="A72" s="6" t="s">
        <v>502</v>
      </c>
      <c r="B72" s="6" t="s">
        <v>287</v>
      </c>
      <c r="C72" s="7">
        <v>28319639056</v>
      </c>
      <c r="D72" s="7">
        <v>5303200581</v>
      </c>
      <c r="E72" s="6" t="s">
        <v>14</v>
      </c>
      <c r="F72" s="8" t="s">
        <v>15</v>
      </c>
      <c r="G72" s="9">
        <v>45686</v>
      </c>
      <c r="H72" s="9">
        <v>46051</v>
      </c>
      <c r="I72" s="6" t="s">
        <v>288</v>
      </c>
      <c r="J72" s="10"/>
      <c r="K72" s="6" t="s">
        <v>495</v>
      </c>
      <c r="L72" s="6"/>
      <c r="M72" s="6" t="s">
        <v>71</v>
      </c>
      <c r="N72" s="6"/>
    </row>
    <row r="73" spans="1:14" x14ac:dyDescent="0.3">
      <c r="A73" s="6" t="s">
        <v>501</v>
      </c>
      <c r="B73" s="6" t="s">
        <v>153</v>
      </c>
      <c r="C73" s="7">
        <v>4540083266</v>
      </c>
      <c r="D73" s="7"/>
      <c r="E73" s="6" t="s">
        <v>14</v>
      </c>
      <c r="F73" s="8">
        <v>100000337946066</v>
      </c>
      <c r="G73" s="9">
        <v>45690</v>
      </c>
      <c r="H73" s="9">
        <v>46055</v>
      </c>
      <c r="I73" s="6" t="s">
        <v>154</v>
      </c>
      <c r="J73" s="10">
        <v>45060</v>
      </c>
      <c r="K73" s="6" t="s">
        <v>495</v>
      </c>
      <c r="L73" s="6">
        <v>4087.54</v>
      </c>
      <c r="M73" s="6" t="s">
        <v>155</v>
      </c>
      <c r="N73" s="6"/>
    </row>
    <row r="74" spans="1:14" x14ac:dyDescent="0.3">
      <c r="A74" s="6" t="s">
        <v>502</v>
      </c>
      <c r="B74" s="6" t="s">
        <v>158</v>
      </c>
      <c r="C74" s="7">
        <v>19703341952</v>
      </c>
      <c r="D74" s="7"/>
      <c r="E74" s="6" t="s">
        <v>50</v>
      </c>
      <c r="F74" s="8">
        <v>1051802025</v>
      </c>
      <c r="G74" s="9">
        <v>45691</v>
      </c>
      <c r="H74" s="9">
        <v>46056</v>
      </c>
      <c r="I74" s="6" t="s">
        <v>159</v>
      </c>
      <c r="J74" s="10">
        <v>21790</v>
      </c>
      <c r="K74" s="6" t="s">
        <v>498</v>
      </c>
      <c r="L74" s="6">
        <f>3135.01*0.6</f>
        <v>1881.0060000000001</v>
      </c>
      <c r="M74" s="6" t="s">
        <v>30</v>
      </c>
      <c r="N74" s="6"/>
    </row>
    <row r="75" spans="1:14" x14ac:dyDescent="0.3">
      <c r="A75" s="6" t="s">
        <v>502</v>
      </c>
      <c r="B75" s="6" t="s">
        <v>156</v>
      </c>
      <c r="C75" s="7">
        <v>21040245558</v>
      </c>
      <c r="D75" s="7">
        <v>5325410396</v>
      </c>
      <c r="E75" s="6" t="s">
        <v>56</v>
      </c>
      <c r="F75" s="8">
        <v>1067334123</v>
      </c>
      <c r="G75" s="9">
        <v>45691</v>
      </c>
      <c r="H75" s="9">
        <v>46056</v>
      </c>
      <c r="I75" s="6"/>
      <c r="J75" s="10">
        <v>48771</v>
      </c>
      <c r="K75" s="6" t="s">
        <v>497</v>
      </c>
      <c r="L75" s="6">
        <f>7360.05*0.6</f>
        <v>4416.03</v>
      </c>
      <c r="M75" s="6" t="s">
        <v>30</v>
      </c>
      <c r="N75" s="6" t="s">
        <v>157</v>
      </c>
    </row>
    <row r="76" spans="1:14" x14ac:dyDescent="0.3">
      <c r="A76" s="6" t="s">
        <v>501</v>
      </c>
      <c r="B76" s="6" t="s">
        <v>124</v>
      </c>
      <c r="C76" s="7">
        <v>6211022844</v>
      </c>
      <c r="D76" s="7"/>
      <c r="E76" s="6" t="s">
        <v>14</v>
      </c>
      <c r="F76" s="8">
        <v>803319695</v>
      </c>
      <c r="G76" s="9">
        <v>45692</v>
      </c>
      <c r="H76" s="9">
        <v>46057</v>
      </c>
      <c r="I76" s="6" t="s">
        <v>152</v>
      </c>
      <c r="J76" s="10">
        <v>8826</v>
      </c>
      <c r="K76" s="6" t="s">
        <v>495</v>
      </c>
      <c r="L76" s="6"/>
      <c r="M76" s="6" t="s">
        <v>116</v>
      </c>
      <c r="N76" s="6" t="s">
        <v>117</v>
      </c>
    </row>
    <row r="77" spans="1:14" x14ac:dyDescent="0.3">
      <c r="A77" s="6" t="s">
        <v>502</v>
      </c>
      <c r="B77" s="6" t="s">
        <v>147</v>
      </c>
      <c r="C77" s="7">
        <v>19505655196</v>
      </c>
      <c r="D77" s="7"/>
      <c r="E77" s="6" t="s">
        <v>60</v>
      </c>
      <c r="F77" s="8">
        <v>77768339</v>
      </c>
      <c r="G77" s="9">
        <v>45693</v>
      </c>
      <c r="H77" s="9">
        <v>46058</v>
      </c>
      <c r="I77" s="6"/>
      <c r="J77" s="10">
        <v>1635.66</v>
      </c>
      <c r="K77" s="6" t="s">
        <v>498</v>
      </c>
      <c r="L77" s="6">
        <v>294.42</v>
      </c>
      <c r="M77" s="6" t="s">
        <v>97</v>
      </c>
      <c r="N77" s="6" t="s">
        <v>148</v>
      </c>
    </row>
    <row r="78" spans="1:14" x14ac:dyDescent="0.3">
      <c r="A78" s="6" t="s">
        <v>502</v>
      </c>
      <c r="B78" s="6" t="s">
        <v>142</v>
      </c>
      <c r="C78" s="7">
        <v>19508655032</v>
      </c>
      <c r="D78" s="7"/>
      <c r="E78" s="6" t="s">
        <v>60</v>
      </c>
      <c r="F78" s="8">
        <v>77768038</v>
      </c>
      <c r="G78" s="9">
        <v>45693</v>
      </c>
      <c r="H78" s="9">
        <v>46058</v>
      </c>
      <c r="I78" s="6"/>
      <c r="J78" s="10">
        <v>1635.66</v>
      </c>
      <c r="K78" s="6" t="s">
        <v>498</v>
      </c>
      <c r="L78" s="6">
        <v>294.42</v>
      </c>
      <c r="M78" s="6" t="s">
        <v>97</v>
      </c>
      <c r="N78" s="6" t="s">
        <v>143</v>
      </c>
    </row>
    <row r="79" spans="1:14" x14ac:dyDescent="0.3">
      <c r="A79" s="6" t="s">
        <v>502</v>
      </c>
      <c r="B79" s="6" t="s">
        <v>142</v>
      </c>
      <c r="C79" s="7">
        <v>19508655032</v>
      </c>
      <c r="D79" s="7"/>
      <c r="E79" s="6" t="s">
        <v>60</v>
      </c>
      <c r="F79" s="8">
        <v>77768154</v>
      </c>
      <c r="G79" s="9">
        <v>45693</v>
      </c>
      <c r="H79" s="9">
        <v>46058</v>
      </c>
      <c r="I79" s="6"/>
      <c r="J79" s="10">
        <v>1635.66</v>
      </c>
      <c r="K79" s="6" t="s">
        <v>498</v>
      </c>
      <c r="L79" s="6">
        <v>294.42</v>
      </c>
      <c r="M79" s="6" t="s">
        <v>97</v>
      </c>
      <c r="N79" s="6" t="s">
        <v>144</v>
      </c>
    </row>
    <row r="80" spans="1:14" x14ac:dyDescent="0.3">
      <c r="A80" s="6" t="s">
        <v>502</v>
      </c>
      <c r="B80" s="6" t="s">
        <v>145</v>
      </c>
      <c r="C80" s="7">
        <v>19541653958</v>
      </c>
      <c r="D80" s="7"/>
      <c r="E80" s="6" t="s">
        <v>60</v>
      </c>
      <c r="F80" s="8">
        <v>77768792</v>
      </c>
      <c r="G80" s="9">
        <v>45693</v>
      </c>
      <c r="H80" s="9">
        <v>46058</v>
      </c>
      <c r="I80" s="6"/>
      <c r="J80" s="10">
        <v>1635.66</v>
      </c>
      <c r="K80" s="6" t="s">
        <v>498</v>
      </c>
      <c r="L80" s="6">
        <v>294.42</v>
      </c>
      <c r="M80" s="6" t="s">
        <v>97</v>
      </c>
      <c r="N80" s="6" t="s">
        <v>146</v>
      </c>
    </row>
    <row r="81" spans="1:14" x14ac:dyDescent="0.3">
      <c r="A81" s="6" t="s">
        <v>502</v>
      </c>
      <c r="B81" s="6" t="s">
        <v>18</v>
      </c>
      <c r="C81" s="7">
        <v>48694550494</v>
      </c>
      <c r="D81" s="7">
        <v>5464039888</v>
      </c>
      <c r="E81" s="6" t="s">
        <v>14</v>
      </c>
      <c r="F81" s="8" t="s">
        <v>15</v>
      </c>
      <c r="G81" s="9">
        <v>45693</v>
      </c>
      <c r="H81" s="9">
        <v>46058</v>
      </c>
      <c r="I81" s="6" t="s">
        <v>19</v>
      </c>
      <c r="J81" s="10"/>
      <c r="K81" s="6" t="s">
        <v>497</v>
      </c>
      <c r="L81" s="6"/>
      <c r="M81" s="6" t="s">
        <v>20</v>
      </c>
      <c r="N81" s="6" t="s">
        <v>21</v>
      </c>
    </row>
    <row r="82" spans="1:14" x14ac:dyDescent="0.3">
      <c r="A82" s="6" t="s">
        <v>501</v>
      </c>
      <c r="B82" s="6" t="s">
        <v>99</v>
      </c>
      <c r="C82" s="7">
        <v>4811196831</v>
      </c>
      <c r="D82" s="7"/>
      <c r="E82" s="6" t="s">
        <v>60</v>
      </c>
      <c r="F82" s="8">
        <v>82342689</v>
      </c>
      <c r="G82" s="9">
        <v>45694</v>
      </c>
      <c r="H82" s="9">
        <v>46059</v>
      </c>
      <c r="I82" s="6"/>
      <c r="J82" s="10">
        <v>3271.32</v>
      </c>
      <c r="K82" s="6" t="s">
        <v>495</v>
      </c>
      <c r="L82" s="6">
        <v>507.05</v>
      </c>
      <c r="M82" s="6" t="s">
        <v>97</v>
      </c>
      <c r="N82" s="6" t="s">
        <v>151</v>
      </c>
    </row>
    <row r="83" spans="1:14" x14ac:dyDescent="0.3">
      <c r="A83" s="6" t="s">
        <v>502</v>
      </c>
      <c r="B83" s="6" t="s">
        <v>149</v>
      </c>
      <c r="C83" s="7">
        <v>18215568062</v>
      </c>
      <c r="D83" s="7"/>
      <c r="E83" s="6" t="s">
        <v>60</v>
      </c>
      <c r="F83" s="8">
        <v>77763750</v>
      </c>
      <c r="G83" s="9">
        <v>45694</v>
      </c>
      <c r="H83" s="9">
        <v>46059</v>
      </c>
      <c r="I83" s="6"/>
      <c r="J83" s="10">
        <v>2696.96</v>
      </c>
      <c r="K83" s="6" t="s">
        <v>495</v>
      </c>
      <c r="L83" s="6">
        <v>485.45</v>
      </c>
      <c r="M83" s="6" t="s">
        <v>97</v>
      </c>
      <c r="N83" s="6" t="s">
        <v>150</v>
      </c>
    </row>
    <row r="84" spans="1:14" x14ac:dyDescent="0.3">
      <c r="A84" s="6" t="s">
        <v>501</v>
      </c>
      <c r="B84" s="6" t="s">
        <v>22</v>
      </c>
      <c r="C84" s="7">
        <v>450040418</v>
      </c>
      <c r="D84" s="7"/>
      <c r="E84" s="6" t="s">
        <v>14</v>
      </c>
      <c r="F84" s="8" t="s">
        <v>15</v>
      </c>
      <c r="G84" s="9">
        <v>45698</v>
      </c>
      <c r="H84" s="9">
        <v>46063</v>
      </c>
      <c r="I84" s="6" t="s">
        <v>23</v>
      </c>
      <c r="J84" s="10"/>
      <c r="K84" s="6" t="s">
        <v>497</v>
      </c>
      <c r="L84" s="6"/>
      <c r="M84" s="6" t="s">
        <v>24</v>
      </c>
      <c r="N84" s="6" t="s">
        <v>25</v>
      </c>
    </row>
    <row r="85" spans="1:14" x14ac:dyDescent="0.3">
      <c r="A85" s="6" t="s">
        <v>502</v>
      </c>
      <c r="B85" s="6" t="s">
        <v>168</v>
      </c>
      <c r="C85" s="7">
        <v>30422033478</v>
      </c>
      <c r="D85" s="7"/>
      <c r="E85" s="6" t="s">
        <v>60</v>
      </c>
      <c r="F85" s="8">
        <v>82402807</v>
      </c>
      <c r="G85" s="9">
        <v>45699</v>
      </c>
      <c r="H85" s="9">
        <v>46064</v>
      </c>
      <c r="I85" s="6"/>
      <c r="J85" s="10">
        <v>1781.05</v>
      </c>
      <c r="K85" s="6" t="s">
        <v>498</v>
      </c>
      <c r="L85" s="6">
        <v>276.06</v>
      </c>
      <c r="M85" s="6" t="s">
        <v>61</v>
      </c>
      <c r="N85" s="6" t="s">
        <v>169</v>
      </c>
    </row>
    <row r="86" spans="1:14" x14ac:dyDescent="0.3">
      <c r="A86" s="6" t="s">
        <v>502</v>
      </c>
      <c r="B86" s="6" t="s">
        <v>170</v>
      </c>
      <c r="C86" s="7">
        <v>24368358672</v>
      </c>
      <c r="D86" s="7"/>
      <c r="E86" s="6" t="s">
        <v>14</v>
      </c>
      <c r="F86" s="8" t="s">
        <v>15</v>
      </c>
      <c r="G86" s="9">
        <v>45701</v>
      </c>
      <c r="H86" s="9">
        <v>46066</v>
      </c>
      <c r="I86" s="6" t="s">
        <v>171</v>
      </c>
      <c r="J86" s="10"/>
      <c r="K86" s="6" t="s">
        <v>498</v>
      </c>
      <c r="L86" s="6"/>
      <c r="M86" s="6" t="s">
        <v>17</v>
      </c>
      <c r="N86" s="6"/>
    </row>
    <row r="87" spans="1:14" x14ac:dyDescent="0.3">
      <c r="A87" s="6" t="s">
        <v>502</v>
      </c>
      <c r="B87" s="6" t="s">
        <v>160</v>
      </c>
      <c r="C87" s="7">
        <v>38863487478</v>
      </c>
      <c r="D87" s="7"/>
      <c r="E87" s="6" t="s">
        <v>14</v>
      </c>
      <c r="F87" s="8" t="s">
        <v>15</v>
      </c>
      <c r="G87" s="9">
        <v>45701</v>
      </c>
      <c r="H87" s="9">
        <v>46066</v>
      </c>
      <c r="I87" s="6" t="s">
        <v>161</v>
      </c>
      <c r="J87" s="10"/>
      <c r="K87" s="6" t="s">
        <v>498</v>
      </c>
      <c r="L87" s="6"/>
      <c r="M87" s="6" t="s">
        <v>30</v>
      </c>
      <c r="N87" s="6" t="s">
        <v>162</v>
      </c>
    </row>
    <row r="88" spans="1:14" x14ac:dyDescent="0.3">
      <c r="A88" s="6" t="s">
        <v>502</v>
      </c>
      <c r="B88" s="6" t="s">
        <v>160</v>
      </c>
      <c r="C88" s="7">
        <v>38863487478</v>
      </c>
      <c r="D88" s="7"/>
      <c r="E88" s="6" t="s">
        <v>50</v>
      </c>
      <c r="F88" s="8" t="s">
        <v>15</v>
      </c>
      <c r="G88" s="9">
        <v>45701</v>
      </c>
      <c r="H88" s="9">
        <v>46066</v>
      </c>
      <c r="I88" s="6" t="s">
        <v>161</v>
      </c>
      <c r="J88" s="10"/>
      <c r="K88" s="6" t="s">
        <v>498</v>
      </c>
      <c r="L88" s="6"/>
      <c r="M88" s="6" t="s">
        <v>30</v>
      </c>
      <c r="N88" s="6" t="s">
        <v>162</v>
      </c>
    </row>
    <row r="89" spans="1:14" x14ac:dyDescent="0.3">
      <c r="A89" s="6" t="s">
        <v>502</v>
      </c>
      <c r="B89" s="6" t="s">
        <v>170</v>
      </c>
      <c r="C89" s="7">
        <v>24368358672</v>
      </c>
      <c r="D89" s="7"/>
      <c r="E89" s="6" t="s">
        <v>50</v>
      </c>
      <c r="F89" s="8">
        <v>307000160969913</v>
      </c>
      <c r="G89" s="9">
        <v>45702</v>
      </c>
      <c r="H89" s="9">
        <v>46067</v>
      </c>
      <c r="I89" s="6" t="s">
        <v>171</v>
      </c>
      <c r="J89" s="10">
        <v>10332.32</v>
      </c>
      <c r="K89" s="6" t="s">
        <v>498</v>
      </c>
      <c r="L89" s="6">
        <v>1394.78</v>
      </c>
      <c r="M89" s="6" t="s">
        <v>71</v>
      </c>
      <c r="N89" s="6"/>
    </row>
    <row r="90" spans="1:14" x14ac:dyDescent="0.3">
      <c r="A90" s="6" t="s">
        <v>502</v>
      </c>
      <c r="B90" s="6" t="s">
        <v>163</v>
      </c>
      <c r="C90" s="7">
        <v>27163377466</v>
      </c>
      <c r="D90" s="7"/>
      <c r="E90" s="6" t="s">
        <v>50</v>
      </c>
      <c r="F90" s="8" t="s">
        <v>15</v>
      </c>
      <c r="G90" s="9">
        <v>45705</v>
      </c>
      <c r="H90" s="9">
        <v>46070</v>
      </c>
      <c r="I90" s="6" t="s">
        <v>164</v>
      </c>
      <c r="J90" s="10"/>
      <c r="K90" s="6" t="s">
        <v>498</v>
      </c>
      <c r="L90" s="6"/>
      <c r="M90" s="6" t="s">
        <v>165</v>
      </c>
      <c r="N90" s="6"/>
    </row>
    <row r="91" spans="1:14" x14ac:dyDescent="0.3">
      <c r="A91" s="6" t="s">
        <v>502</v>
      </c>
      <c r="B91" s="6" t="s">
        <v>163</v>
      </c>
      <c r="C91" s="7">
        <v>27163377466</v>
      </c>
      <c r="D91" s="7"/>
      <c r="E91" s="6" t="s">
        <v>166</v>
      </c>
      <c r="F91" s="8" t="s">
        <v>15</v>
      </c>
      <c r="G91" s="9">
        <v>45707</v>
      </c>
      <c r="H91" s="9">
        <v>46072</v>
      </c>
      <c r="I91" s="6" t="s">
        <v>164</v>
      </c>
      <c r="J91" s="10"/>
      <c r="K91" s="6" t="s">
        <v>498</v>
      </c>
      <c r="L91" s="6"/>
      <c r="M91" s="6" t="s">
        <v>116</v>
      </c>
      <c r="N91" s="6" t="s">
        <v>167</v>
      </c>
    </row>
    <row r="92" spans="1:14" x14ac:dyDescent="0.3">
      <c r="A92" s="6" t="s">
        <v>502</v>
      </c>
      <c r="B92" s="6" t="s">
        <v>36</v>
      </c>
      <c r="C92" s="7">
        <v>18164569752</v>
      </c>
      <c r="D92" s="7"/>
      <c r="E92" s="6" t="s">
        <v>14</v>
      </c>
      <c r="F92" s="8">
        <v>114909502</v>
      </c>
      <c r="G92" s="9">
        <v>45708</v>
      </c>
      <c r="H92" s="9">
        <v>46073</v>
      </c>
      <c r="I92" s="6" t="s">
        <v>175</v>
      </c>
      <c r="J92" s="10">
        <v>2525.2399999999998</v>
      </c>
      <c r="K92" s="6" t="s">
        <v>495</v>
      </c>
      <c r="L92" s="6">
        <v>226.96</v>
      </c>
      <c r="M92" s="6" t="s">
        <v>61</v>
      </c>
      <c r="N92" s="6"/>
    </row>
    <row r="93" spans="1:14" x14ac:dyDescent="0.3">
      <c r="A93" s="6" t="s">
        <v>502</v>
      </c>
      <c r="B93" s="6" t="s">
        <v>174</v>
      </c>
      <c r="C93" s="7">
        <v>59134045708</v>
      </c>
      <c r="D93" s="7"/>
      <c r="E93" s="6" t="s">
        <v>112</v>
      </c>
      <c r="F93" s="8">
        <v>1071008602478</v>
      </c>
      <c r="G93" s="9">
        <v>45709</v>
      </c>
      <c r="H93" s="9">
        <v>46074</v>
      </c>
      <c r="I93" s="6"/>
      <c r="J93" s="10">
        <v>52209.26</v>
      </c>
      <c r="K93" s="6" t="s">
        <v>497</v>
      </c>
      <c r="L93" s="6">
        <v>1566.09</v>
      </c>
      <c r="M93" s="6" t="s">
        <v>108</v>
      </c>
      <c r="N93" s="6"/>
    </row>
    <row r="94" spans="1:14" x14ac:dyDescent="0.3">
      <c r="A94" s="6" t="s">
        <v>502</v>
      </c>
      <c r="B94" s="6" t="s">
        <v>176</v>
      </c>
      <c r="C94" s="7">
        <v>15664999874</v>
      </c>
      <c r="D94" s="7"/>
      <c r="E94" s="6" t="s">
        <v>177</v>
      </c>
      <c r="F94" s="8">
        <v>110239925</v>
      </c>
      <c r="G94" s="9">
        <v>45713</v>
      </c>
      <c r="H94" s="9">
        <v>46078</v>
      </c>
      <c r="I94" s="6"/>
      <c r="J94" s="10">
        <v>630</v>
      </c>
      <c r="K94" s="6" t="s">
        <v>498</v>
      </c>
      <c r="L94" s="6">
        <v>36</v>
      </c>
      <c r="M94" s="6" t="s">
        <v>30</v>
      </c>
      <c r="N94" s="6" t="s">
        <v>178</v>
      </c>
    </row>
    <row r="95" spans="1:14" x14ac:dyDescent="0.3">
      <c r="A95" s="6" t="s">
        <v>502</v>
      </c>
      <c r="B95" s="6" t="s">
        <v>181</v>
      </c>
      <c r="C95" s="7">
        <v>26105394998</v>
      </c>
      <c r="D95" s="7"/>
      <c r="E95" s="6" t="s">
        <v>14</v>
      </c>
      <c r="F95" s="8" t="s">
        <v>15</v>
      </c>
      <c r="G95" s="9">
        <v>45714</v>
      </c>
      <c r="H95" s="9">
        <v>46079</v>
      </c>
      <c r="I95" s="6" t="s">
        <v>182</v>
      </c>
      <c r="J95" s="10"/>
      <c r="K95" s="6" t="s">
        <v>498</v>
      </c>
      <c r="L95" s="6"/>
      <c r="M95" s="6" t="s">
        <v>30</v>
      </c>
      <c r="N95" s="6"/>
    </row>
    <row r="96" spans="1:14" x14ac:dyDescent="0.3">
      <c r="A96" s="6" t="s">
        <v>502</v>
      </c>
      <c r="B96" s="6" t="s">
        <v>362</v>
      </c>
      <c r="C96" s="7">
        <v>30421768180</v>
      </c>
      <c r="D96" s="7">
        <v>5556112050</v>
      </c>
      <c r="E96" s="6" t="s">
        <v>50</v>
      </c>
      <c r="F96" s="8" t="s">
        <v>15</v>
      </c>
      <c r="G96" s="9">
        <v>45721</v>
      </c>
      <c r="H96" s="9">
        <v>46086</v>
      </c>
      <c r="I96" s="6" t="s">
        <v>363</v>
      </c>
      <c r="J96" s="10"/>
      <c r="K96" s="6" t="s">
        <v>497</v>
      </c>
      <c r="L96" s="6"/>
      <c r="M96" s="6"/>
      <c r="N96" s="6"/>
    </row>
    <row r="97" spans="1:14" x14ac:dyDescent="0.3">
      <c r="A97" s="6" t="s">
        <v>502</v>
      </c>
      <c r="B97" s="6" t="s">
        <v>190</v>
      </c>
      <c r="C97" s="7">
        <v>46834465134</v>
      </c>
      <c r="D97" s="7"/>
      <c r="E97" s="6" t="s">
        <v>60</v>
      </c>
      <c r="F97" s="8">
        <v>72612262</v>
      </c>
      <c r="G97" s="9">
        <v>45722</v>
      </c>
      <c r="H97" s="9">
        <v>46087</v>
      </c>
      <c r="I97" s="6"/>
      <c r="J97" s="10">
        <v>1312</v>
      </c>
      <c r="K97" s="6" t="s">
        <v>498</v>
      </c>
      <c r="L97" s="6">
        <v>170.56</v>
      </c>
      <c r="M97" s="6" t="s">
        <v>61</v>
      </c>
      <c r="N97" s="6" t="s">
        <v>191</v>
      </c>
    </row>
    <row r="98" spans="1:14" x14ac:dyDescent="0.3">
      <c r="A98" s="6" t="s">
        <v>502</v>
      </c>
      <c r="B98" s="6" t="s">
        <v>192</v>
      </c>
      <c r="C98" s="7">
        <v>46837465070</v>
      </c>
      <c r="D98" s="7"/>
      <c r="E98" s="6" t="s">
        <v>60</v>
      </c>
      <c r="F98" s="8">
        <v>72612205</v>
      </c>
      <c r="G98" s="9">
        <v>45722</v>
      </c>
      <c r="H98" s="9">
        <v>46087</v>
      </c>
      <c r="I98" s="6"/>
      <c r="J98" s="10">
        <v>1687.84</v>
      </c>
      <c r="K98" s="6" t="s">
        <v>498</v>
      </c>
      <c r="L98" s="6">
        <v>305.61</v>
      </c>
      <c r="M98" s="6" t="s">
        <v>61</v>
      </c>
      <c r="N98" s="6" t="s">
        <v>193</v>
      </c>
    </row>
    <row r="99" spans="1:14" x14ac:dyDescent="0.3">
      <c r="A99" s="6" t="s">
        <v>502</v>
      </c>
      <c r="B99" s="6" t="s">
        <v>192</v>
      </c>
      <c r="C99" s="7">
        <v>46837465070</v>
      </c>
      <c r="D99" s="7"/>
      <c r="E99" s="6" t="s">
        <v>60</v>
      </c>
      <c r="F99" s="8">
        <v>72612233</v>
      </c>
      <c r="G99" s="9">
        <v>45722</v>
      </c>
      <c r="H99" s="9">
        <v>46087</v>
      </c>
      <c r="I99" s="6"/>
      <c r="J99" s="10">
        <v>1517.2</v>
      </c>
      <c r="K99" s="6" t="s">
        <v>498</v>
      </c>
      <c r="L99" s="6">
        <v>273.10000000000002</v>
      </c>
      <c r="M99" s="6" t="s">
        <v>61</v>
      </c>
      <c r="N99" s="6" t="s">
        <v>194</v>
      </c>
    </row>
    <row r="100" spans="1:14" x14ac:dyDescent="0.3">
      <c r="A100" s="6" t="s">
        <v>502</v>
      </c>
      <c r="B100" s="6" t="s">
        <v>36</v>
      </c>
      <c r="C100" s="7">
        <v>18164569752</v>
      </c>
      <c r="D100" s="7"/>
      <c r="E100" s="6" t="s">
        <v>14</v>
      </c>
      <c r="F100" s="8">
        <v>814969268</v>
      </c>
      <c r="G100" s="9">
        <v>45723</v>
      </c>
      <c r="H100" s="9">
        <v>46088</v>
      </c>
      <c r="I100" s="6" t="s">
        <v>195</v>
      </c>
      <c r="J100" s="10">
        <v>7492.99</v>
      </c>
      <c r="K100" s="6" t="s">
        <v>495</v>
      </c>
      <c r="L100" s="6"/>
      <c r="M100" s="6" t="s">
        <v>196</v>
      </c>
      <c r="N100" s="6"/>
    </row>
    <row r="101" spans="1:14" x14ac:dyDescent="0.3">
      <c r="A101" s="6" t="s">
        <v>502</v>
      </c>
      <c r="B101" s="6" t="s">
        <v>183</v>
      </c>
      <c r="C101" s="7">
        <v>62353221228</v>
      </c>
      <c r="D101" s="7"/>
      <c r="E101" s="6" t="s">
        <v>60</v>
      </c>
      <c r="F101" s="8">
        <v>23663866</v>
      </c>
      <c r="G101" s="9">
        <v>45723</v>
      </c>
      <c r="H101" s="9">
        <v>46088</v>
      </c>
      <c r="I101" s="6"/>
      <c r="J101" s="10">
        <v>1798.16</v>
      </c>
      <c r="K101" s="6" t="s">
        <v>498</v>
      </c>
      <c r="L101" s="6">
        <v>323.67</v>
      </c>
      <c r="M101" s="6" t="s">
        <v>61</v>
      </c>
      <c r="N101" s="6" t="s">
        <v>184</v>
      </c>
    </row>
    <row r="102" spans="1:14" x14ac:dyDescent="0.3">
      <c r="A102" s="6" t="s">
        <v>502</v>
      </c>
      <c r="B102" s="6" t="s">
        <v>185</v>
      </c>
      <c r="C102" s="7">
        <v>62290223354</v>
      </c>
      <c r="D102" s="7"/>
      <c r="E102" s="6" t="s">
        <v>60</v>
      </c>
      <c r="F102" s="8">
        <v>58496784</v>
      </c>
      <c r="G102" s="9">
        <v>45724</v>
      </c>
      <c r="H102" s="9">
        <v>46089</v>
      </c>
      <c r="I102" s="6"/>
      <c r="J102" s="10">
        <v>2397.5500000000002</v>
      </c>
      <c r="K102" s="6" t="s">
        <v>498</v>
      </c>
      <c r="L102" s="6">
        <v>431.56</v>
      </c>
      <c r="M102" s="6" t="s">
        <v>61</v>
      </c>
      <c r="N102" s="6" t="s">
        <v>186</v>
      </c>
    </row>
    <row r="103" spans="1:14" x14ac:dyDescent="0.3">
      <c r="A103" s="6" t="s">
        <v>502</v>
      </c>
      <c r="B103" s="6" t="s">
        <v>197</v>
      </c>
      <c r="C103" s="7">
        <v>57226674560</v>
      </c>
      <c r="D103" s="7"/>
      <c r="E103" s="6" t="s">
        <v>166</v>
      </c>
      <c r="F103" s="8">
        <v>100000349346148</v>
      </c>
      <c r="G103" s="9">
        <v>45725</v>
      </c>
      <c r="H103" s="9">
        <v>46090</v>
      </c>
      <c r="I103" s="6" t="s">
        <v>198</v>
      </c>
      <c r="J103" s="10">
        <v>14494.99</v>
      </c>
      <c r="K103" s="6" t="s">
        <v>495</v>
      </c>
      <c r="L103" s="6">
        <v>1326.76</v>
      </c>
      <c r="M103" s="6" t="s">
        <v>64</v>
      </c>
      <c r="N103" s="6">
        <v>27268</v>
      </c>
    </row>
    <row r="104" spans="1:14" x14ac:dyDescent="0.3">
      <c r="A104" s="6" t="s">
        <v>501</v>
      </c>
      <c r="B104" s="6" t="s">
        <v>13</v>
      </c>
      <c r="C104" s="7">
        <v>6211022844</v>
      </c>
      <c r="D104" s="7"/>
      <c r="E104" s="6" t="s">
        <v>166</v>
      </c>
      <c r="F104" s="8">
        <v>816871566</v>
      </c>
      <c r="G104" s="9">
        <v>45728</v>
      </c>
      <c r="H104" s="9">
        <v>46093</v>
      </c>
      <c r="I104" s="6" t="s">
        <v>199</v>
      </c>
      <c r="J104" s="10">
        <v>19591</v>
      </c>
      <c r="K104" s="6" t="s">
        <v>495</v>
      </c>
      <c r="L104" s="6"/>
      <c r="M104" s="6" t="s">
        <v>116</v>
      </c>
      <c r="N104" s="6" t="s">
        <v>200</v>
      </c>
    </row>
    <row r="105" spans="1:14" x14ac:dyDescent="0.3">
      <c r="A105" s="6" t="s">
        <v>502</v>
      </c>
      <c r="B105" s="6" t="s">
        <v>203</v>
      </c>
      <c r="C105" s="7">
        <v>36142578466</v>
      </c>
      <c r="D105" s="7"/>
      <c r="E105" s="6" t="s">
        <v>14</v>
      </c>
      <c r="F105" s="8">
        <v>555810038</v>
      </c>
      <c r="G105" s="9">
        <v>45729</v>
      </c>
      <c r="H105" s="9">
        <v>46094</v>
      </c>
      <c r="I105" s="6" t="s">
        <v>204</v>
      </c>
      <c r="J105" s="10">
        <v>15877.56</v>
      </c>
      <c r="K105" s="6" t="s">
        <v>498</v>
      </c>
      <c r="L105" s="6">
        <f>1436.55*0.6</f>
        <v>861.93</v>
      </c>
      <c r="M105" s="6" t="s">
        <v>34</v>
      </c>
      <c r="N105" s="6" t="s">
        <v>205</v>
      </c>
    </row>
    <row r="106" spans="1:14" x14ac:dyDescent="0.3">
      <c r="A106" s="6" t="s">
        <v>502</v>
      </c>
      <c r="B106" s="6" t="s">
        <v>201</v>
      </c>
      <c r="C106" s="7">
        <v>38581298790</v>
      </c>
      <c r="D106" s="7">
        <v>5324280877</v>
      </c>
      <c r="E106" s="6" t="s">
        <v>188</v>
      </c>
      <c r="F106" s="8">
        <v>201000002328652</v>
      </c>
      <c r="G106" s="9">
        <v>45729</v>
      </c>
      <c r="H106" s="9">
        <v>46094</v>
      </c>
      <c r="I106" s="6"/>
      <c r="J106" s="10">
        <v>3999.24</v>
      </c>
      <c r="K106" s="6" t="s">
        <v>497</v>
      </c>
      <c r="L106" s="6">
        <v>758.61</v>
      </c>
      <c r="M106" s="6" t="s">
        <v>38</v>
      </c>
      <c r="N106" s="6" t="s">
        <v>202</v>
      </c>
    </row>
    <row r="107" spans="1:14" x14ac:dyDescent="0.3">
      <c r="A107" s="6" t="s">
        <v>502</v>
      </c>
      <c r="B107" s="6" t="s">
        <v>206</v>
      </c>
      <c r="C107" s="7">
        <v>15217104786</v>
      </c>
      <c r="D107" s="7"/>
      <c r="E107" s="6" t="s">
        <v>166</v>
      </c>
      <c r="F107" s="8" t="s">
        <v>15</v>
      </c>
      <c r="G107" s="9">
        <v>45736</v>
      </c>
      <c r="H107" s="9">
        <v>46101</v>
      </c>
      <c r="I107" s="6" t="s">
        <v>207</v>
      </c>
      <c r="J107" s="10"/>
      <c r="K107" s="6" t="s">
        <v>497</v>
      </c>
      <c r="L107" s="6"/>
      <c r="M107" s="6" t="s">
        <v>71</v>
      </c>
      <c r="N107" s="6"/>
    </row>
    <row r="108" spans="1:14" x14ac:dyDescent="0.3">
      <c r="A108" s="6" t="s">
        <v>502</v>
      </c>
      <c r="B108" s="6" t="s">
        <v>208</v>
      </c>
      <c r="C108" s="7">
        <v>62209226032</v>
      </c>
      <c r="D108" s="7">
        <v>5556179327</v>
      </c>
      <c r="E108" s="6" t="s">
        <v>56</v>
      </c>
      <c r="F108" s="8">
        <v>2898282</v>
      </c>
      <c r="G108" s="9">
        <v>45736</v>
      </c>
      <c r="H108" s="9">
        <v>46101</v>
      </c>
      <c r="I108" s="6"/>
      <c r="J108" s="10">
        <v>15571.3</v>
      </c>
      <c r="K108" s="6" t="s">
        <v>498</v>
      </c>
      <c r="L108" s="6">
        <f>389.2*8</f>
        <v>3113.6</v>
      </c>
      <c r="M108" s="6" t="s">
        <v>209</v>
      </c>
      <c r="N108" s="6"/>
    </row>
    <row r="109" spans="1:14" x14ac:dyDescent="0.3">
      <c r="A109" s="6" t="s">
        <v>501</v>
      </c>
      <c r="B109" s="6" t="s">
        <v>13</v>
      </c>
      <c r="C109" s="7">
        <v>6211022844</v>
      </c>
      <c r="D109" s="7"/>
      <c r="E109" s="6" t="s">
        <v>166</v>
      </c>
      <c r="F109" s="8">
        <v>819930704</v>
      </c>
      <c r="G109" s="9">
        <v>45737</v>
      </c>
      <c r="H109" s="9">
        <v>46102</v>
      </c>
      <c r="I109" s="6" t="s">
        <v>212</v>
      </c>
      <c r="J109" s="10">
        <v>18611</v>
      </c>
      <c r="K109" s="6" t="s">
        <v>495</v>
      </c>
      <c r="L109" s="6"/>
      <c r="M109" s="6" t="s">
        <v>116</v>
      </c>
      <c r="N109" s="6" t="s">
        <v>200</v>
      </c>
    </row>
    <row r="110" spans="1:14" x14ac:dyDescent="0.3">
      <c r="A110" s="6" t="s">
        <v>502</v>
      </c>
      <c r="B110" s="6" t="s">
        <v>72</v>
      </c>
      <c r="C110" s="7">
        <v>38515891516</v>
      </c>
      <c r="D110" s="7"/>
      <c r="E110" s="6" t="s">
        <v>14</v>
      </c>
      <c r="F110" s="8" t="s">
        <v>15</v>
      </c>
      <c r="G110" s="9">
        <v>45740</v>
      </c>
      <c r="H110" s="9">
        <v>46105</v>
      </c>
      <c r="I110" s="6" t="s">
        <v>73</v>
      </c>
      <c r="J110" s="10"/>
      <c r="K110" s="6" t="s">
        <v>497</v>
      </c>
      <c r="L110" s="6"/>
      <c r="M110" s="6" t="s">
        <v>74</v>
      </c>
      <c r="N110" s="6"/>
    </row>
    <row r="111" spans="1:14" x14ac:dyDescent="0.3">
      <c r="A111" s="6" t="s">
        <v>502</v>
      </c>
      <c r="B111" s="6" t="s">
        <v>210</v>
      </c>
      <c r="C111" s="7">
        <v>26533896866</v>
      </c>
      <c r="D111" s="7"/>
      <c r="E111" s="6" t="s">
        <v>56</v>
      </c>
      <c r="F111" s="8">
        <v>1071008717988</v>
      </c>
      <c r="G111" s="9">
        <v>45736</v>
      </c>
      <c r="H111" s="9">
        <v>46107</v>
      </c>
      <c r="I111" s="6"/>
      <c r="J111" s="10">
        <v>20650.330000000002</v>
      </c>
      <c r="K111" s="6" t="s">
        <v>497</v>
      </c>
      <c r="L111" s="6">
        <f>2115.63*0.6</f>
        <v>1269.3779999999999</v>
      </c>
      <c r="M111" s="6" t="s">
        <v>108</v>
      </c>
      <c r="N111" s="6" t="s">
        <v>211</v>
      </c>
    </row>
    <row r="112" spans="1:14" x14ac:dyDescent="0.3">
      <c r="A112" s="6" t="s">
        <v>502</v>
      </c>
      <c r="B112" s="6" t="s">
        <v>213</v>
      </c>
      <c r="C112" s="7">
        <v>45853254668</v>
      </c>
      <c r="D112" s="7">
        <v>5365859325</v>
      </c>
      <c r="E112" s="6" t="s">
        <v>14</v>
      </c>
      <c r="F112" s="8">
        <v>100000355635402</v>
      </c>
      <c r="G112" s="9">
        <v>45742</v>
      </c>
      <c r="H112" s="9">
        <v>46107</v>
      </c>
      <c r="I112" s="6" t="s">
        <v>214</v>
      </c>
      <c r="J112" s="10">
        <v>16161.5</v>
      </c>
      <c r="K112" s="6" t="s">
        <v>497</v>
      </c>
      <c r="L112" s="6">
        <v>1468.58</v>
      </c>
      <c r="M112" s="6" t="s">
        <v>64</v>
      </c>
      <c r="N112" s="6" t="s">
        <v>215</v>
      </c>
    </row>
    <row r="113" spans="1:14" x14ac:dyDescent="0.3">
      <c r="A113" s="6" t="s">
        <v>501</v>
      </c>
      <c r="B113" s="6" t="s">
        <v>13</v>
      </c>
      <c r="C113" s="7">
        <v>6211022844</v>
      </c>
      <c r="D113" s="7"/>
      <c r="E113" s="6" t="s">
        <v>14</v>
      </c>
      <c r="F113" s="8">
        <v>822060797</v>
      </c>
      <c r="G113" s="9">
        <v>45743</v>
      </c>
      <c r="H113" s="9">
        <v>46108</v>
      </c>
      <c r="I113" s="6" t="s">
        <v>216</v>
      </c>
      <c r="J113" s="10"/>
      <c r="K113" s="6" t="s">
        <v>495</v>
      </c>
      <c r="L113" s="6"/>
      <c r="M113" s="6" t="s">
        <v>116</v>
      </c>
      <c r="N113" s="6" t="s">
        <v>200</v>
      </c>
    </row>
    <row r="114" spans="1:14" x14ac:dyDescent="0.3">
      <c r="A114" s="6" t="s">
        <v>502</v>
      </c>
      <c r="B114" s="6" t="s">
        <v>217</v>
      </c>
      <c r="C114" s="7">
        <v>16174573318</v>
      </c>
      <c r="D114" s="7" t="s">
        <v>218</v>
      </c>
      <c r="E114" s="6" t="s">
        <v>14</v>
      </c>
      <c r="F114" s="8">
        <v>299891018733</v>
      </c>
      <c r="G114" s="9">
        <v>45746</v>
      </c>
      <c r="H114" s="9">
        <v>46111</v>
      </c>
      <c r="I114" s="6" t="s">
        <v>219</v>
      </c>
      <c r="J114" s="10">
        <v>9841.65</v>
      </c>
      <c r="K114" s="6" t="s">
        <v>498</v>
      </c>
      <c r="L114" s="6">
        <f>878*0.6</f>
        <v>526.79999999999995</v>
      </c>
      <c r="M114" s="6" t="s">
        <v>137</v>
      </c>
      <c r="N114" s="6"/>
    </row>
    <row r="115" spans="1:14" x14ac:dyDescent="0.3">
      <c r="A115" s="6" t="s">
        <v>502</v>
      </c>
      <c r="B115" s="6" t="s">
        <v>217</v>
      </c>
      <c r="C115" s="7">
        <v>16174573318</v>
      </c>
      <c r="D115" s="7" t="s">
        <v>218</v>
      </c>
      <c r="E115" s="6" t="s">
        <v>50</v>
      </c>
      <c r="F115" s="8">
        <v>821442651</v>
      </c>
      <c r="G115" s="9">
        <v>45747</v>
      </c>
      <c r="H115" s="9">
        <v>46112</v>
      </c>
      <c r="I115" s="6" t="s">
        <v>219</v>
      </c>
      <c r="J115" s="10">
        <v>12438.07</v>
      </c>
      <c r="K115" s="6" t="s">
        <v>498</v>
      </c>
      <c r="L115" s="6">
        <v>1780.74</v>
      </c>
      <c r="M115" s="6" t="s">
        <v>116</v>
      </c>
      <c r="N115" s="6"/>
    </row>
    <row r="116" spans="1:14" x14ac:dyDescent="0.3">
      <c r="A116" s="6" t="s">
        <v>502</v>
      </c>
      <c r="B116" s="6" t="s">
        <v>220</v>
      </c>
      <c r="C116" s="7">
        <v>53401345454</v>
      </c>
      <c r="D116" s="7"/>
      <c r="E116" s="6" t="s">
        <v>14</v>
      </c>
      <c r="F116" s="8">
        <v>311000410787284</v>
      </c>
      <c r="G116" s="9">
        <v>45748</v>
      </c>
      <c r="H116" s="9">
        <v>46113</v>
      </c>
      <c r="I116" s="6" t="s">
        <v>221</v>
      </c>
      <c r="J116" s="10">
        <v>13443.98</v>
      </c>
      <c r="K116" s="6" t="s">
        <v>498</v>
      </c>
      <c r="L116" s="6">
        <v>1204.1099999999999</v>
      </c>
      <c r="M116" s="6" t="s">
        <v>71</v>
      </c>
      <c r="N116" s="6"/>
    </row>
    <row r="117" spans="1:14" x14ac:dyDescent="0.3">
      <c r="A117" s="6" t="s">
        <v>502</v>
      </c>
      <c r="B117" s="6" t="s">
        <v>220</v>
      </c>
      <c r="C117" s="7">
        <v>53401345454</v>
      </c>
      <c r="D117" s="7"/>
      <c r="E117" s="6" t="s">
        <v>50</v>
      </c>
      <c r="F117" s="8">
        <v>307000165396513</v>
      </c>
      <c r="G117" s="9">
        <v>45748</v>
      </c>
      <c r="H117" s="9">
        <v>46113</v>
      </c>
      <c r="I117" s="6" t="s">
        <v>221</v>
      </c>
      <c r="J117" s="10">
        <v>13585.71</v>
      </c>
      <c r="K117" s="6" t="s">
        <v>498</v>
      </c>
      <c r="L117" s="6">
        <v>1940.81</v>
      </c>
      <c r="M117" s="6" t="s">
        <v>71</v>
      </c>
      <c r="N117" s="6"/>
    </row>
    <row r="118" spans="1:14" x14ac:dyDescent="0.3">
      <c r="A118" s="6" t="s">
        <v>502</v>
      </c>
      <c r="B118" s="6" t="s">
        <v>110</v>
      </c>
      <c r="C118" s="7">
        <v>62323222248</v>
      </c>
      <c r="D118" s="7">
        <v>5334482661</v>
      </c>
      <c r="E118" s="6" t="s">
        <v>50</v>
      </c>
      <c r="F118" s="8">
        <v>100000357180894</v>
      </c>
      <c r="G118" s="9">
        <v>45748</v>
      </c>
      <c r="H118" s="9">
        <v>46113</v>
      </c>
      <c r="I118" s="6" t="s">
        <v>222</v>
      </c>
      <c r="J118" s="10">
        <v>8379</v>
      </c>
      <c r="K118" s="6" t="s">
        <v>498</v>
      </c>
      <c r="L118" s="6">
        <v>1197</v>
      </c>
      <c r="M118" s="6" t="s">
        <v>64</v>
      </c>
      <c r="N118" s="6"/>
    </row>
    <row r="119" spans="1:14" x14ac:dyDescent="0.3">
      <c r="A119" s="6" t="s">
        <v>502</v>
      </c>
      <c r="B119" s="6" t="s">
        <v>223</v>
      </c>
      <c r="C119" s="7">
        <v>29872545068</v>
      </c>
      <c r="D119" s="7">
        <v>5333109627</v>
      </c>
      <c r="E119" s="6" t="s">
        <v>50</v>
      </c>
      <c r="F119" s="8">
        <v>307000166247901</v>
      </c>
      <c r="G119" s="9">
        <v>45749</v>
      </c>
      <c r="H119" s="9">
        <v>46114</v>
      </c>
      <c r="I119" s="6" t="s">
        <v>224</v>
      </c>
      <c r="J119" s="10">
        <v>12285.4</v>
      </c>
      <c r="K119" s="6" t="s">
        <v>497</v>
      </c>
      <c r="L119" s="6">
        <v>1755</v>
      </c>
      <c r="M119" s="6" t="s">
        <v>71</v>
      </c>
      <c r="N119" s="6" t="s">
        <v>225</v>
      </c>
    </row>
    <row r="120" spans="1:14" x14ac:dyDescent="0.3">
      <c r="A120" s="6" t="s">
        <v>502</v>
      </c>
      <c r="B120" s="6" t="s">
        <v>223</v>
      </c>
      <c r="C120" s="7">
        <v>29872545068</v>
      </c>
      <c r="D120" s="7">
        <v>5333109627</v>
      </c>
      <c r="E120" s="6" t="s">
        <v>14</v>
      </c>
      <c r="F120" s="8">
        <v>100000354690126</v>
      </c>
      <c r="G120" s="9">
        <v>45749</v>
      </c>
      <c r="H120" s="9">
        <v>46114</v>
      </c>
      <c r="I120" s="6" t="s">
        <v>224</v>
      </c>
      <c r="J120" s="10">
        <v>8168.04</v>
      </c>
      <c r="K120" s="6" t="s">
        <v>497</v>
      </c>
      <c r="L120" s="6">
        <v>740.41</v>
      </c>
      <c r="M120" s="6" t="s">
        <v>64</v>
      </c>
      <c r="N120" s="6" t="s">
        <v>226</v>
      </c>
    </row>
    <row r="121" spans="1:14" x14ac:dyDescent="0.3">
      <c r="A121" s="6" t="s">
        <v>502</v>
      </c>
      <c r="B121" s="6" t="s">
        <v>227</v>
      </c>
      <c r="C121" s="7">
        <v>40756138688</v>
      </c>
      <c r="D121" s="7">
        <v>5335588348</v>
      </c>
      <c r="E121" s="6" t="s">
        <v>14</v>
      </c>
      <c r="F121" s="8">
        <v>311000414209111</v>
      </c>
      <c r="G121" s="9">
        <v>45749</v>
      </c>
      <c r="H121" s="9">
        <v>46114</v>
      </c>
      <c r="I121" s="6" t="s">
        <v>228</v>
      </c>
      <c r="J121" s="10">
        <v>13488.99</v>
      </c>
      <c r="K121" s="6" t="s">
        <v>497</v>
      </c>
      <c r="L121" s="6">
        <v>1204.3699999999999</v>
      </c>
      <c r="M121" s="6" t="s">
        <v>71</v>
      </c>
      <c r="N121" s="6"/>
    </row>
    <row r="122" spans="1:14" x14ac:dyDescent="0.3">
      <c r="A122" s="6" t="s">
        <v>502</v>
      </c>
      <c r="B122" s="6" t="s">
        <v>227</v>
      </c>
      <c r="C122" s="7">
        <v>40756138688</v>
      </c>
      <c r="D122" s="7"/>
      <c r="E122" s="6" t="s">
        <v>50</v>
      </c>
      <c r="F122" s="8" t="s">
        <v>15</v>
      </c>
      <c r="G122" s="9">
        <v>45749</v>
      </c>
      <c r="H122" s="9">
        <v>46114</v>
      </c>
      <c r="I122" s="6" t="s">
        <v>228</v>
      </c>
      <c r="J122" s="10">
        <v>17802.439999999999</v>
      </c>
      <c r="K122" s="6" t="s">
        <v>497</v>
      </c>
      <c r="L122" s="6">
        <f>2543.22*0.6</f>
        <v>1525.9319999999998</v>
      </c>
      <c r="M122" s="6" t="s">
        <v>34</v>
      </c>
      <c r="N122" s="6" t="s">
        <v>229</v>
      </c>
    </row>
    <row r="123" spans="1:14" x14ac:dyDescent="0.3">
      <c r="A123" s="6" t="s">
        <v>502</v>
      </c>
      <c r="B123" s="6" t="s">
        <v>230</v>
      </c>
      <c r="C123" s="7">
        <v>16277920880</v>
      </c>
      <c r="D123" s="7"/>
      <c r="E123" s="6" t="s">
        <v>14</v>
      </c>
      <c r="F123" s="8" t="s">
        <v>15</v>
      </c>
      <c r="G123" s="9">
        <v>45751</v>
      </c>
      <c r="H123" s="9">
        <v>46116</v>
      </c>
      <c r="I123" s="6" t="s">
        <v>231</v>
      </c>
      <c r="J123" s="10"/>
      <c r="K123" s="6" t="s">
        <v>497</v>
      </c>
      <c r="L123" s="6"/>
      <c r="M123" s="6" t="s">
        <v>52</v>
      </c>
      <c r="N123" s="6">
        <v>32391</v>
      </c>
    </row>
    <row r="124" spans="1:14" x14ac:dyDescent="0.3">
      <c r="A124" s="6" t="s">
        <v>502</v>
      </c>
      <c r="B124" s="6" t="s">
        <v>237</v>
      </c>
      <c r="C124" s="7">
        <v>21320072164</v>
      </c>
      <c r="D124" s="7">
        <v>5345972931</v>
      </c>
      <c r="E124" s="6" t="s">
        <v>56</v>
      </c>
      <c r="F124" s="8">
        <v>602000005220524</v>
      </c>
      <c r="G124" s="9">
        <v>45755</v>
      </c>
      <c r="H124" s="9">
        <v>46120</v>
      </c>
      <c r="I124" s="6"/>
      <c r="J124" s="10">
        <v>22347.599999999999</v>
      </c>
      <c r="K124" s="6" t="s">
        <v>498</v>
      </c>
      <c r="L124" s="6">
        <v>4469.5200000000004</v>
      </c>
      <c r="M124" s="6" t="s">
        <v>38</v>
      </c>
      <c r="N124" s="6" t="s">
        <v>238</v>
      </c>
    </row>
    <row r="125" spans="1:14" x14ac:dyDescent="0.3">
      <c r="A125" s="6" t="s">
        <v>501</v>
      </c>
      <c r="B125" s="6" t="s">
        <v>124</v>
      </c>
      <c r="C125" s="7">
        <v>6211022844</v>
      </c>
      <c r="D125" s="7"/>
      <c r="E125" s="6" t="s">
        <v>14</v>
      </c>
      <c r="F125" s="8">
        <v>826516817</v>
      </c>
      <c r="G125" s="9">
        <v>45758</v>
      </c>
      <c r="H125" s="9">
        <v>46123</v>
      </c>
      <c r="I125" s="6" t="s">
        <v>239</v>
      </c>
      <c r="J125" s="10">
        <v>56727</v>
      </c>
      <c r="K125" s="6" t="s">
        <v>495</v>
      </c>
      <c r="L125" s="6">
        <v>5064.41</v>
      </c>
      <c r="M125" s="6" t="s">
        <v>116</v>
      </c>
      <c r="N125" s="6"/>
    </row>
    <row r="126" spans="1:14" x14ac:dyDescent="0.3">
      <c r="A126" s="6" t="s">
        <v>501</v>
      </c>
      <c r="B126" s="6" t="s">
        <v>124</v>
      </c>
      <c r="C126" s="7">
        <v>6211022844</v>
      </c>
      <c r="D126" s="7"/>
      <c r="E126" s="6" t="s">
        <v>14</v>
      </c>
      <c r="F126" s="8">
        <v>826514080</v>
      </c>
      <c r="G126" s="9">
        <v>45758</v>
      </c>
      <c r="H126" s="9">
        <v>46123</v>
      </c>
      <c r="I126" s="6" t="s">
        <v>240</v>
      </c>
      <c r="J126" s="10">
        <v>56727</v>
      </c>
      <c r="K126" s="6" t="s">
        <v>495</v>
      </c>
      <c r="L126" s="6">
        <v>5064.41</v>
      </c>
      <c r="M126" s="6" t="s">
        <v>116</v>
      </c>
      <c r="N126" s="6"/>
    </row>
    <row r="127" spans="1:14" x14ac:dyDescent="0.3">
      <c r="A127" s="6" t="s">
        <v>501</v>
      </c>
      <c r="B127" s="6" t="s">
        <v>124</v>
      </c>
      <c r="C127" s="7">
        <v>6211022844</v>
      </c>
      <c r="D127" s="7"/>
      <c r="E127" s="6" t="s">
        <v>14</v>
      </c>
      <c r="F127" s="8">
        <v>826507563</v>
      </c>
      <c r="G127" s="9">
        <v>45758</v>
      </c>
      <c r="H127" s="9">
        <v>46123</v>
      </c>
      <c r="I127" s="6" t="s">
        <v>241</v>
      </c>
      <c r="J127" s="10">
        <v>56727</v>
      </c>
      <c r="K127" s="6" t="s">
        <v>495</v>
      </c>
      <c r="L127" s="6">
        <v>5064.41</v>
      </c>
      <c r="M127" s="6" t="s">
        <v>116</v>
      </c>
      <c r="N127" s="6"/>
    </row>
    <row r="128" spans="1:14" x14ac:dyDescent="0.3">
      <c r="A128" s="6" t="s">
        <v>502</v>
      </c>
      <c r="B128" s="6" t="s">
        <v>242</v>
      </c>
      <c r="C128" s="7">
        <v>15170292254</v>
      </c>
      <c r="D128" s="7"/>
      <c r="E128" s="6" t="s">
        <v>14</v>
      </c>
      <c r="F128" s="8" t="s">
        <v>15</v>
      </c>
      <c r="G128" s="9">
        <v>45761</v>
      </c>
      <c r="H128" s="9">
        <v>46126</v>
      </c>
      <c r="I128" s="6" t="s">
        <v>243</v>
      </c>
      <c r="J128" s="10"/>
      <c r="K128" s="6" t="s">
        <v>498</v>
      </c>
      <c r="L128" s="6"/>
      <c r="M128" s="6" t="s">
        <v>244</v>
      </c>
      <c r="N128" s="6" t="s">
        <v>245</v>
      </c>
    </row>
    <row r="129" spans="1:14" x14ac:dyDescent="0.3">
      <c r="A129" s="6" t="s">
        <v>502</v>
      </c>
      <c r="B129" s="6" t="s">
        <v>232</v>
      </c>
      <c r="C129" s="7">
        <v>66379090752</v>
      </c>
      <c r="D129" s="7"/>
      <c r="E129" s="6" t="s">
        <v>14</v>
      </c>
      <c r="F129" s="8" t="s">
        <v>15</v>
      </c>
      <c r="G129" s="9">
        <v>45762</v>
      </c>
      <c r="H129" s="9">
        <v>46127</v>
      </c>
      <c r="I129" s="6" t="s">
        <v>233</v>
      </c>
      <c r="J129" s="10"/>
      <c r="K129" s="6" t="s">
        <v>498</v>
      </c>
      <c r="L129" s="6"/>
      <c r="M129" s="6" t="s">
        <v>234</v>
      </c>
      <c r="N129" s="6"/>
    </row>
    <row r="130" spans="1:14" x14ac:dyDescent="0.3">
      <c r="A130" s="6" t="s">
        <v>502</v>
      </c>
      <c r="B130" s="6" t="s">
        <v>232</v>
      </c>
      <c r="C130" s="7">
        <v>66379090752</v>
      </c>
      <c r="D130" s="7"/>
      <c r="E130" s="6" t="s">
        <v>50</v>
      </c>
      <c r="F130" s="8" t="s">
        <v>15</v>
      </c>
      <c r="G130" s="9">
        <v>45762</v>
      </c>
      <c r="H130" s="9">
        <v>46127</v>
      </c>
      <c r="I130" s="6" t="s">
        <v>233</v>
      </c>
      <c r="J130" s="10"/>
      <c r="K130" s="6" t="s">
        <v>498</v>
      </c>
      <c r="L130" s="6"/>
      <c r="M130" s="6" t="s">
        <v>234</v>
      </c>
      <c r="N130" s="6"/>
    </row>
    <row r="131" spans="1:14" x14ac:dyDescent="0.3">
      <c r="A131" s="6" t="s">
        <v>501</v>
      </c>
      <c r="B131" s="6" t="s">
        <v>124</v>
      </c>
      <c r="C131" s="7">
        <v>6211022844</v>
      </c>
      <c r="D131" s="7"/>
      <c r="E131" s="6" t="s">
        <v>14</v>
      </c>
      <c r="F131" s="8">
        <v>826452355</v>
      </c>
      <c r="G131" s="9">
        <v>45764</v>
      </c>
      <c r="H131" s="9">
        <v>46129</v>
      </c>
      <c r="I131" s="6" t="s">
        <v>246</v>
      </c>
      <c r="J131" s="10">
        <v>56727</v>
      </c>
      <c r="K131" s="6" t="s">
        <v>495</v>
      </c>
      <c r="L131" s="6">
        <v>5064.41</v>
      </c>
      <c r="M131" s="6" t="s">
        <v>116</v>
      </c>
      <c r="N131" s="6"/>
    </row>
    <row r="132" spans="1:14" x14ac:dyDescent="0.3">
      <c r="A132" s="6" t="s">
        <v>501</v>
      </c>
      <c r="B132" s="6" t="s">
        <v>124</v>
      </c>
      <c r="C132" s="7">
        <v>6211022844</v>
      </c>
      <c r="D132" s="7"/>
      <c r="E132" s="6" t="s">
        <v>14</v>
      </c>
      <c r="F132" s="8">
        <v>828789790</v>
      </c>
      <c r="G132" s="9">
        <v>45764</v>
      </c>
      <c r="H132" s="9">
        <v>46129</v>
      </c>
      <c r="I132" s="6" t="s">
        <v>249</v>
      </c>
      <c r="J132" s="10">
        <v>56727</v>
      </c>
      <c r="K132" s="6" t="s">
        <v>495</v>
      </c>
      <c r="L132" s="6">
        <v>5064.41</v>
      </c>
      <c r="M132" s="6" t="s">
        <v>116</v>
      </c>
      <c r="N132" s="6"/>
    </row>
    <row r="133" spans="1:14" x14ac:dyDescent="0.3">
      <c r="A133" s="6" t="s">
        <v>501</v>
      </c>
      <c r="B133" s="6" t="s">
        <v>124</v>
      </c>
      <c r="C133" s="7">
        <v>6211022844</v>
      </c>
      <c r="D133" s="7"/>
      <c r="E133" s="6" t="s">
        <v>14</v>
      </c>
      <c r="F133" s="8">
        <v>828793610</v>
      </c>
      <c r="G133" s="9">
        <v>45764</v>
      </c>
      <c r="H133" s="9">
        <v>46129</v>
      </c>
      <c r="I133" s="6" t="s">
        <v>250</v>
      </c>
      <c r="J133" s="10">
        <v>56727</v>
      </c>
      <c r="K133" s="6" t="s">
        <v>495</v>
      </c>
      <c r="L133" s="6">
        <v>5064.41</v>
      </c>
      <c r="M133" s="6" t="s">
        <v>116</v>
      </c>
      <c r="N133" s="6"/>
    </row>
    <row r="134" spans="1:14" x14ac:dyDescent="0.3">
      <c r="A134" s="6" t="s">
        <v>502</v>
      </c>
      <c r="B134" s="6" t="s">
        <v>213</v>
      </c>
      <c r="C134" s="7">
        <v>45853254668</v>
      </c>
      <c r="D134" s="7">
        <v>5365859325</v>
      </c>
      <c r="E134" s="6" t="s">
        <v>14</v>
      </c>
      <c r="F134" s="8">
        <v>1342227935</v>
      </c>
      <c r="G134" s="9">
        <v>45769</v>
      </c>
      <c r="H134" s="9">
        <v>46134</v>
      </c>
      <c r="I134" s="6" t="s">
        <v>235</v>
      </c>
      <c r="J134" s="10">
        <v>10214.879999999999</v>
      </c>
      <c r="K134" s="6" t="s">
        <v>497</v>
      </c>
      <c r="L134" s="6">
        <f>932.35*0.65</f>
        <v>606.02750000000003</v>
      </c>
      <c r="M134" s="6" t="s">
        <v>45</v>
      </c>
      <c r="N134" s="6" t="s">
        <v>236</v>
      </c>
    </row>
    <row r="135" spans="1:14" x14ac:dyDescent="0.3">
      <c r="A135" s="6" t="s">
        <v>502</v>
      </c>
      <c r="B135" s="6" t="s">
        <v>251</v>
      </c>
      <c r="C135" s="7">
        <v>51058081626</v>
      </c>
      <c r="D135" s="7">
        <v>5325525060</v>
      </c>
      <c r="E135" s="6" t="s">
        <v>60</v>
      </c>
      <c r="F135" s="8">
        <v>67708920</v>
      </c>
      <c r="G135" s="9">
        <v>45769</v>
      </c>
      <c r="H135" s="9">
        <v>46134</v>
      </c>
      <c r="I135" s="6"/>
      <c r="J135" s="10">
        <v>2110.04</v>
      </c>
      <c r="K135" s="6" t="s">
        <v>498</v>
      </c>
      <c r="L135" s="6">
        <f>263.76*0.6</f>
        <v>158.256</v>
      </c>
      <c r="M135" s="6" t="s">
        <v>30</v>
      </c>
      <c r="N135" s="6" t="s">
        <v>252</v>
      </c>
    </row>
    <row r="136" spans="1:14" x14ac:dyDescent="0.3">
      <c r="A136" s="6" t="s">
        <v>501</v>
      </c>
      <c r="B136" s="6" t="s">
        <v>124</v>
      </c>
      <c r="C136" s="7">
        <v>6211022844</v>
      </c>
      <c r="D136" s="7"/>
      <c r="E136" s="6" t="s">
        <v>14</v>
      </c>
      <c r="F136" s="8">
        <v>827070375</v>
      </c>
      <c r="G136" s="9">
        <v>45771</v>
      </c>
      <c r="H136" s="9">
        <v>46136</v>
      </c>
      <c r="I136" s="6" t="s">
        <v>247</v>
      </c>
      <c r="J136" s="10">
        <v>33765</v>
      </c>
      <c r="K136" s="6" t="s">
        <v>495</v>
      </c>
      <c r="L136" s="6">
        <v>3014.44</v>
      </c>
      <c r="M136" s="6" t="s">
        <v>116</v>
      </c>
      <c r="N136" s="6"/>
    </row>
    <row r="137" spans="1:14" x14ac:dyDescent="0.3">
      <c r="A137" s="6" t="s">
        <v>501</v>
      </c>
      <c r="B137" s="6" t="s">
        <v>124</v>
      </c>
      <c r="C137" s="7">
        <v>6211022844</v>
      </c>
      <c r="D137" s="7"/>
      <c r="E137" s="6" t="s">
        <v>14</v>
      </c>
      <c r="F137" s="8">
        <v>827072002</v>
      </c>
      <c r="G137" s="9">
        <v>45771</v>
      </c>
      <c r="H137" s="9">
        <v>46136</v>
      </c>
      <c r="I137" s="6" t="s">
        <v>248</v>
      </c>
      <c r="J137" s="10">
        <v>67531</v>
      </c>
      <c r="K137" s="6" t="s">
        <v>495</v>
      </c>
      <c r="L137" s="6">
        <v>6028.96</v>
      </c>
      <c r="M137" s="6" t="s">
        <v>116</v>
      </c>
      <c r="N137" s="6"/>
    </row>
    <row r="138" spans="1:14" x14ac:dyDescent="0.3">
      <c r="A138" s="6" t="s">
        <v>501</v>
      </c>
      <c r="B138" s="6" t="s">
        <v>124</v>
      </c>
      <c r="C138" s="7">
        <v>6211022844</v>
      </c>
      <c r="D138" s="7"/>
      <c r="E138" s="6" t="s">
        <v>14</v>
      </c>
      <c r="F138" s="8">
        <v>832104538</v>
      </c>
      <c r="G138" s="9">
        <v>45775</v>
      </c>
      <c r="H138" s="9">
        <v>46140</v>
      </c>
      <c r="I138" s="6" t="s">
        <v>253</v>
      </c>
      <c r="J138" s="10">
        <v>51536.99</v>
      </c>
      <c r="K138" s="6" t="s">
        <v>495</v>
      </c>
      <c r="L138" s="6">
        <v>4601.05</v>
      </c>
      <c r="M138" s="6" t="s">
        <v>254</v>
      </c>
      <c r="N138" s="6"/>
    </row>
    <row r="139" spans="1:14" x14ac:dyDescent="0.3">
      <c r="A139" s="6" t="s">
        <v>501</v>
      </c>
      <c r="B139" s="6" t="s">
        <v>124</v>
      </c>
      <c r="C139" s="7">
        <v>6211022844</v>
      </c>
      <c r="D139" s="7"/>
      <c r="E139" s="6" t="s">
        <v>14</v>
      </c>
      <c r="F139" s="8">
        <v>832108333</v>
      </c>
      <c r="G139" s="9">
        <v>45775</v>
      </c>
      <c r="H139" s="9">
        <v>46140</v>
      </c>
      <c r="I139" s="6" t="s">
        <v>255</v>
      </c>
      <c r="J139" s="10">
        <v>33765.01</v>
      </c>
      <c r="K139" s="6" t="s">
        <v>495</v>
      </c>
      <c r="L139" s="6">
        <v>3014.44</v>
      </c>
      <c r="M139" s="6" t="s">
        <v>254</v>
      </c>
      <c r="N139" s="6"/>
    </row>
    <row r="140" spans="1:14" x14ac:dyDescent="0.3">
      <c r="A140" s="6" t="s">
        <v>501</v>
      </c>
      <c r="B140" s="6" t="s">
        <v>124</v>
      </c>
      <c r="C140" s="7">
        <v>6211022844</v>
      </c>
      <c r="D140" s="7"/>
      <c r="E140" s="6" t="s">
        <v>14</v>
      </c>
      <c r="F140" s="8">
        <v>832121809</v>
      </c>
      <c r="G140" s="9">
        <v>45775</v>
      </c>
      <c r="H140" s="9">
        <v>46140</v>
      </c>
      <c r="I140" s="6" t="s">
        <v>256</v>
      </c>
      <c r="J140" s="10">
        <v>51536.99</v>
      </c>
      <c r="K140" s="6" t="s">
        <v>495</v>
      </c>
      <c r="L140" s="6">
        <v>4601.05</v>
      </c>
      <c r="M140" s="6" t="s">
        <v>254</v>
      </c>
      <c r="N140" s="6"/>
    </row>
    <row r="141" spans="1:14" x14ac:dyDescent="0.3">
      <c r="A141" s="6" t="s">
        <v>502</v>
      </c>
      <c r="B141" s="6" t="s">
        <v>197</v>
      </c>
      <c r="C141" s="7">
        <v>57226674560</v>
      </c>
      <c r="D141" s="7"/>
      <c r="E141" s="6" t="s">
        <v>60</v>
      </c>
      <c r="F141" s="8">
        <v>83337507</v>
      </c>
      <c r="G141" s="9">
        <v>45777</v>
      </c>
      <c r="H141" s="9">
        <v>46142</v>
      </c>
      <c r="I141" s="6"/>
      <c r="J141" s="10">
        <v>3038.55</v>
      </c>
      <c r="K141" s="6" t="s">
        <v>495</v>
      </c>
      <c r="L141" s="6">
        <v>379.82</v>
      </c>
      <c r="M141" s="6" t="s">
        <v>38</v>
      </c>
      <c r="N141" s="6" t="s">
        <v>257</v>
      </c>
    </row>
    <row r="142" spans="1:14" x14ac:dyDescent="0.3">
      <c r="A142" s="6" t="s">
        <v>502</v>
      </c>
      <c r="B142" s="6" t="s">
        <v>258</v>
      </c>
      <c r="C142" s="7">
        <v>17210963582</v>
      </c>
      <c r="D142" s="7"/>
      <c r="E142" s="6" t="s">
        <v>50</v>
      </c>
      <c r="F142" s="8" t="s">
        <v>15</v>
      </c>
      <c r="G142" s="9">
        <v>45782</v>
      </c>
      <c r="H142" s="9">
        <v>46147</v>
      </c>
      <c r="I142" s="6" t="s">
        <v>259</v>
      </c>
      <c r="J142" s="10"/>
      <c r="K142" s="6" t="s">
        <v>498</v>
      </c>
      <c r="L142" s="6"/>
      <c r="M142" s="6" t="s">
        <v>17</v>
      </c>
      <c r="N142" s="6"/>
    </row>
    <row r="143" spans="1:14" x14ac:dyDescent="0.3">
      <c r="A143" s="6" t="s">
        <v>502</v>
      </c>
      <c r="B143" s="6" t="s">
        <v>258</v>
      </c>
      <c r="C143" s="7">
        <v>17210963582</v>
      </c>
      <c r="D143" s="7"/>
      <c r="E143" s="6" t="s">
        <v>14</v>
      </c>
      <c r="F143" s="8" t="s">
        <v>15</v>
      </c>
      <c r="G143" s="9">
        <v>45782</v>
      </c>
      <c r="H143" s="9">
        <v>46147</v>
      </c>
      <c r="I143" s="6" t="s">
        <v>259</v>
      </c>
      <c r="J143" s="10"/>
      <c r="K143" s="6" t="s">
        <v>498</v>
      </c>
      <c r="L143" s="6"/>
      <c r="M143" s="6" t="s">
        <v>17</v>
      </c>
      <c r="N143" s="6"/>
    </row>
    <row r="144" spans="1:14" x14ac:dyDescent="0.3">
      <c r="A144" s="6" t="s">
        <v>502</v>
      </c>
      <c r="B144" s="6" t="s">
        <v>156</v>
      </c>
      <c r="C144" s="7">
        <v>21040245558</v>
      </c>
      <c r="D144" s="7">
        <v>5325410396</v>
      </c>
      <c r="E144" s="6" t="s">
        <v>14</v>
      </c>
      <c r="F144" s="8">
        <v>299891019052</v>
      </c>
      <c r="G144" s="9">
        <v>45782</v>
      </c>
      <c r="H144" s="9">
        <v>46147</v>
      </c>
      <c r="I144" s="6" t="s">
        <v>262</v>
      </c>
      <c r="J144" s="10">
        <v>8655.57</v>
      </c>
      <c r="K144" s="6" t="s">
        <v>497</v>
      </c>
      <c r="L144" s="6"/>
      <c r="M144" s="6" t="s">
        <v>137</v>
      </c>
      <c r="N144" s="6"/>
    </row>
    <row r="145" spans="1:14" x14ac:dyDescent="0.3">
      <c r="A145" s="6" t="s">
        <v>501</v>
      </c>
      <c r="B145" s="6" t="s">
        <v>124</v>
      </c>
      <c r="C145" s="7">
        <v>6211022844</v>
      </c>
      <c r="D145" s="7"/>
      <c r="E145" s="6" t="s">
        <v>264</v>
      </c>
      <c r="F145" s="8">
        <v>1197905025</v>
      </c>
      <c r="G145" s="9">
        <v>45784</v>
      </c>
      <c r="H145" s="9">
        <v>46149</v>
      </c>
      <c r="I145" s="6" t="s">
        <v>265</v>
      </c>
      <c r="J145" s="10">
        <v>1096.75</v>
      </c>
      <c r="K145" s="6" t="s">
        <v>496</v>
      </c>
      <c r="L145" s="6">
        <f>87.13*0.6</f>
        <v>52.277999999999999</v>
      </c>
      <c r="M145" s="6" t="s">
        <v>30</v>
      </c>
      <c r="N145" s="6"/>
    </row>
    <row r="146" spans="1:14" x14ac:dyDescent="0.3">
      <c r="A146" s="6" t="s">
        <v>502</v>
      </c>
      <c r="B146" s="6" t="s">
        <v>156</v>
      </c>
      <c r="C146" s="7">
        <v>21040245558</v>
      </c>
      <c r="D146" s="7">
        <v>5325410396</v>
      </c>
      <c r="E146" s="6" t="s">
        <v>50</v>
      </c>
      <c r="F146" s="8">
        <v>100000369792444</v>
      </c>
      <c r="G146" s="9">
        <v>45784</v>
      </c>
      <c r="H146" s="9">
        <v>46149</v>
      </c>
      <c r="I146" s="6" t="s">
        <v>263</v>
      </c>
      <c r="J146" s="10">
        <v>15325.44</v>
      </c>
      <c r="K146" s="6" t="s">
        <v>497</v>
      </c>
      <c r="L146" s="6">
        <v>2189.35</v>
      </c>
      <c r="M146" s="6" t="s">
        <v>64</v>
      </c>
      <c r="N146" s="6"/>
    </row>
    <row r="147" spans="1:14" x14ac:dyDescent="0.3">
      <c r="A147" s="6" t="s">
        <v>501</v>
      </c>
      <c r="B147" s="6" t="s">
        <v>99</v>
      </c>
      <c r="C147" s="7">
        <v>4811196831</v>
      </c>
      <c r="D147" s="7"/>
      <c r="E147" s="6" t="s">
        <v>166</v>
      </c>
      <c r="F147" s="8">
        <v>834419311</v>
      </c>
      <c r="G147" s="9">
        <v>45785</v>
      </c>
      <c r="H147" s="9">
        <v>46150</v>
      </c>
      <c r="I147" s="6" t="s">
        <v>100</v>
      </c>
      <c r="J147" s="10">
        <v>15436.99</v>
      </c>
      <c r="K147" s="6" t="s">
        <v>496</v>
      </c>
      <c r="L147" s="6">
        <v>1378.16</v>
      </c>
      <c r="M147" s="6" t="s">
        <v>116</v>
      </c>
      <c r="N147" s="6"/>
    </row>
    <row r="148" spans="1:14" x14ac:dyDescent="0.3">
      <c r="A148" s="6" t="s">
        <v>501</v>
      </c>
      <c r="B148" s="6" t="s">
        <v>172</v>
      </c>
      <c r="C148" s="7">
        <v>5960554050</v>
      </c>
      <c r="D148" s="7"/>
      <c r="E148" s="6" t="s">
        <v>14</v>
      </c>
      <c r="F148" s="8" t="s">
        <v>15</v>
      </c>
      <c r="G148" s="9">
        <v>45786</v>
      </c>
      <c r="H148" s="9">
        <v>46151</v>
      </c>
      <c r="I148" s="6" t="s">
        <v>173</v>
      </c>
      <c r="J148" s="10"/>
      <c r="K148" s="6" t="s">
        <v>497</v>
      </c>
      <c r="L148" s="6"/>
      <c r="M148" s="6" t="s">
        <v>34</v>
      </c>
      <c r="N148" s="6"/>
    </row>
    <row r="149" spans="1:14" x14ac:dyDescent="0.3">
      <c r="A149" s="6" t="s">
        <v>502</v>
      </c>
      <c r="B149" s="6" t="s">
        <v>43</v>
      </c>
      <c r="C149" s="7">
        <v>18242468410</v>
      </c>
      <c r="D149" s="7">
        <v>5397885190</v>
      </c>
      <c r="E149" s="6" t="s">
        <v>50</v>
      </c>
      <c r="F149" s="8">
        <v>351000079927947</v>
      </c>
      <c r="G149" s="9">
        <v>45786</v>
      </c>
      <c r="H149" s="9">
        <v>46151</v>
      </c>
      <c r="I149" s="6" t="s">
        <v>44</v>
      </c>
      <c r="J149" s="10">
        <v>26535.29</v>
      </c>
      <c r="K149" s="6" t="s">
        <v>497</v>
      </c>
      <c r="L149" s="6">
        <v>3790.76</v>
      </c>
      <c r="M149" s="6" t="s">
        <v>266</v>
      </c>
      <c r="N149" s="6">
        <v>30436</v>
      </c>
    </row>
    <row r="150" spans="1:14" x14ac:dyDescent="0.3">
      <c r="A150" s="6" t="s">
        <v>501</v>
      </c>
      <c r="B150" s="6" t="s">
        <v>114</v>
      </c>
      <c r="C150" s="7">
        <v>5480440710</v>
      </c>
      <c r="D150" s="7"/>
      <c r="E150" s="6" t="s">
        <v>166</v>
      </c>
      <c r="F150" s="8">
        <v>834421242</v>
      </c>
      <c r="G150" s="9">
        <v>45787</v>
      </c>
      <c r="H150" s="9">
        <v>46152</v>
      </c>
      <c r="I150" s="6" t="s">
        <v>260</v>
      </c>
      <c r="J150" s="10">
        <v>9920</v>
      </c>
      <c r="K150" s="6" t="s">
        <v>496</v>
      </c>
      <c r="L150" s="6">
        <v>885.62</v>
      </c>
      <c r="M150" s="6" t="s">
        <v>254</v>
      </c>
      <c r="N150" s="6" t="s">
        <v>261</v>
      </c>
    </row>
    <row r="151" spans="1:14" x14ac:dyDescent="0.3">
      <c r="A151" s="6" t="s">
        <v>502</v>
      </c>
      <c r="B151" s="6" t="s">
        <v>267</v>
      </c>
      <c r="C151" s="7">
        <v>41044761434</v>
      </c>
      <c r="D151" s="7"/>
      <c r="E151" s="6" t="s">
        <v>14</v>
      </c>
      <c r="F151" s="8" t="s">
        <v>15</v>
      </c>
      <c r="G151" s="9">
        <v>45792</v>
      </c>
      <c r="H151" s="9">
        <v>46157</v>
      </c>
      <c r="I151" s="6" t="s">
        <v>268</v>
      </c>
      <c r="J151" s="10"/>
      <c r="K151" s="6" t="s">
        <v>497</v>
      </c>
      <c r="L151" s="6"/>
      <c r="M151" s="6" t="s">
        <v>137</v>
      </c>
      <c r="N151" s="6" t="s">
        <v>269</v>
      </c>
    </row>
    <row r="152" spans="1:14" x14ac:dyDescent="0.3">
      <c r="A152" s="6" t="s">
        <v>502</v>
      </c>
      <c r="B152" s="6" t="s">
        <v>270</v>
      </c>
      <c r="C152" s="7">
        <v>41245754754</v>
      </c>
      <c r="D152" s="7"/>
      <c r="E152" s="6" t="s">
        <v>14</v>
      </c>
      <c r="F152" s="8" t="s">
        <v>15</v>
      </c>
      <c r="G152" s="9">
        <v>45792</v>
      </c>
      <c r="H152" s="9">
        <v>46157</v>
      </c>
      <c r="I152" s="6" t="s">
        <v>271</v>
      </c>
      <c r="J152" s="10"/>
      <c r="K152" s="6" t="s">
        <v>497</v>
      </c>
      <c r="L152" s="6"/>
      <c r="M152" s="6" t="s">
        <v>137</v>
      </c>
      <c r="N152" s="6" t="s">
        <v>272</v>
      </c>
    </row>
    <row r="153" spans="1:14" x14ac:dyDescent="0.3">
      <c r="A153" s="6" t="s">
        <v>502</v>
      </c>
      <c r="B153" s="6" t="s">
        <v>270</v>
      </c>
      <c r="C153" s="7">
        <v>41245754754</v>
      </c>
      <c r="D153" s="7"/>
      <c r="E153" s="6" t="s">
        <v>50</v>
      </c>
      <c r="F153" s="8" t="s">
        <v>15</v>
      </c>
      <c r="G153" s="9">
        <v>45793</v>
      </c>
      <c r="H153" s="9">
        <v>46158</v>
      </c>
      <c r="I153" s="6" t="s">
        <v>271</v>
      </c>
      <c r="J153" s="10"/>
      <c r="K153" s="6" t="s">
        <v>497</v>
      </c>
      <c r="L153" s="6"/>
      <c r="M153" s="6" t="s">
        <v>48</v>
      </c>
      <c r="N153" s="6"/>
    </row>
    <row r="154" spans="1:14" x14ac:dyDescent="0.3">
      <c r="A154" s="6" t="s">
        <v>502</v>
      </c>
      <c r="B154" s="6" t="s">
        <v>267</v>
      </c>
      <c r="C154" s="7">
        <v>41044761434</v>
      </c>
      <c r="D154" s="7"/>
      <c r="E154" s="6" t="s">
        <v>50</v>
      </c>
      <c r="F154" s="8" t="s">
        <v>15</v>
      </c>
      <c r="G154" s="9">
        <v>45794</v>
      </c>
      <c r="H154" s="9">
        <v>46159</v>
      </c>
      <c r="I154" s="6" t="s">
        <v>268</v>
      </c>
      <c r="J154" s="10"/>
      <c r="K154" s="6" t="s">
        <v>497</v>
      </c>
      <c r="L154" s="6"/>
      <c r="M154" s="6" t="s">
        <v>48</v>
      </c>
      <c r="N154" s="6"/>
    </row>
    <row r="155" spans="1:14" x14ac:dyDescent="0.3">
      <c r="A155" s="6" t="s">
        <v>502</v>
      </c>
      <c r="B155" s="6" t="s">
        <v>273</v>
      </c>
      <c r="C155" s="7">
        <v>29857545588</v>
      </c>
      <c r="D155" s="7"/>
      <c r="E155" s="6" t="s">
        <v>14</v>
      </c>
      <c r="F155" s="8">
        <v>299891019168</v>
      </c>
      <c r="G155" s="9">
        <v>45798</v>
      </c>
      <c r="H155" s="9">
        <v>46163</v>
      </c>
      <c r="I155" s="6" t="s">
        <v>274</v>
      </c>
      <c r="J155" s="10">
        <v>18255.61</v>
      </c>
      <c r="K155" s="6" t="s">
        <v>498</v>
      </c>
      <c r="L155" s="6"/>
      <c r="M155" s="6" t="s">
        <v>137</v>
      </c>
      <c r="N155" s="6">
        <v>29989</v>
      </c>
    </row>
    <row r="156" spans="1:14" x14ac:dyDescent="0.3">
      <c r="A156" s="6" t="s">
        <v>502</v>
      </c>
      <c r="B156" s="6" t="s">
        <v>275</v>
      </c>
      <c r="C156" s="7">
        <v>21082244182</v>
      </c>
      <c r="D156" s="7"/>
      <c r="E156" s="6" t="s">
        <v>188</v>
      </c>
      <c r="F156" s="8">
        <v>839305963</v>
      </c>
      <c r="G156" s="9">
        <v>45799</v>
      </c>
      <c r="H156" s="9">
        <v>46164</v>
      </c>
      <c r="I156" s="6"/>
      <c r="J156" s="10">
        <v>7658.59</v>
      </c>
      <c r="K156" s="6" t="s">
        <v>497</v>
      </c>
      <c r="L156" s="6">
        <v>1810</v>
      </c>
      <c r="M156" s="6" t="s">
        <v>254</v>
      </c>
      <c r="N156" s="6"/>
    </row>
    <row r="157" spans="1:14" x14ac:dyDescent="0.3">
      <c r="A157" s="6" t="s">
        <v>502</v>
      </c>
      <c r="B157" s="6" t="s">
        <v>79</v>
      </c>
      <c r="C157" s="7">
        <v>21043245494</v>
      </c>
      <c r="D157" s="7"/>
      <c r="E157" s="6" t="s">
        <v>14</v>
      </c>
      <c r="F157" s="8">
        <v>301000192055505</v>
      </c>
      <c r="G157" s="9">
        <v>45800</v>
      </c>
      <c r="H157" s="9">
        <v>46165</v>
      </c>
      <c r="I157" s="6" t="s">
        <v>80</v>
      </c>
      <c r="J157" s="10">
        <v>15287.58</v>
      </c>
      <c r="K157" s="6" t="s">
        <v>497</v>
      </c>
      <c r="L157" s="6">
        <v>1394.66</v>
      </c>
      <c r="M157" s="6" t="s">
        <v>38</v>
      </c>
      <c r="N157" s="6"/>
    </row>
    <row r="158" spans="1:14" x14ac:dyDescent="0.3">
      <c r="A158" s="6" t="s">
        <v>502</v>
      </c>
      <c r="B158" s="6" t="s">
        <v>106</v>
      </c>
      <c r="C158" s="7">
        <v>21188076632</v>
      </c>
      <c r="D158" s="7"/>
      <c r="E158" s="6" t="s">
        <v>132</v>
      </c>
      <c r="F158" s="8">
        <v>63901524</v>
      </c>
      <c r="G158" s="9">
        <v>45799</v>
      </c>
      <c r="H158" s="9">
        <v>46167</v>
      </c>
      <c r="I158" s="6"/>
      <c r="J158" s="10">
        <v>1873.31</v>
      </c>
      <c r="K158" s="6" t="s">
        <v>498</v>
      </c>
      <c r="L158" s="6">
        <v>374</v>
      </c>
      <c r="M158" s="6" t="s">
        <v>71</v>
      </c>
      <c r="N158" s="6" t="s">
        <v>277</v>
      </c>
    </row>
    <row r="159" spans="1:14" x14ac:dyDescent="0.3">
      <c r="A159" s="6" t="s">
        <v>502</v>
      </c>
      <c r="B159" s="6" t="s">
        <v>282</v>
      </c>
      <c r="C159" s="7">
        <v>32249098692</v>
      </c>
      <c r="D159" s="7"/>
      <c r="E159" s="6" t="s">
        <v>14</v>
      </c>
      <c r="F159" s="8">
        <v>299891019203</v>
      </c>
      <c r="G159" s="9">
        <v>45803</v>
      </c>
      <c r="H159" s="9">
        <v>46168</v>
      </c>
      <c r="I159" s="6" t="s">
        <v>283</v>
      </c>
      <c r="J159" s="10">
        <v>8655.57</v>
      </c>
      <c r="K159" s="6" t="s">
        <v>498</v>
      </c>
      <c r="L159" s="6">
        <v>467.5</v>
      </c>
      <c r="M159" s="6" t="s">
        <v>137</v>
      </c>
      <c r="N159" s="6">
        <v>32446</v>
      </c>
    </row>
    <row r="160" spans="1:14" x14ac:dyDescent="0.3">
      <c r="A160" s="6" t="s">
        <v>502</v>
      </c>
      <c r="B160" s="6" t="s">
        <v>282</v>
      </c>
      <c r="C160" s="7">
        <v>32249098692</v>
      </c>
      <c r="D160" s="7"/>
      <c r="E160" s="6" t="s">
        <v>50</v>
      </c>
      <c r="F160" s="8">
        <v>351000081751370</v>
      </c>
      <c r="G160" s="9">
        <v>45803</v>
      </c>
      <c r="H160" s="9">
        <v>46168</v>
      </c>
      <c r="I160" s="6" t="s">
        <v>283</v>
      </c>
      <c r="J160" s="10">
        <v>14633.43</v>
      </c>
      <c r="K160" s="6" t="s">
        <v>498</v>
      </c>
      <c r="L160" s="6">
        <v>2090.4899999999998</v>
      </c>
      <c r="M160" s="6" t="s">
        <v>38</v>
      </c>
      <c r="N160" s="6"/>
    </row>
    <row r="161" spans="1:14" x14ac:dyDescent="0.3">
      <c r="A161" s="6" t="s">
        <v>502</v>
      </c>
      <c r="B161" s="6" t="s">
        <v>290</v>
      </c>
      <c r="C161" s="7">
        <v>47209207618</v>
      </c>
      <c r="D161" s="7"/>
      <c r="E161" s="6" t="s">
        <v>14</v>
      </c>
      <c r="F161" s="8" t="s">
        <v>15</v>
      </c>
      <c r="G161" s="9">
        <v>45803</v>
      </c>
      <c r="H161" s="9">
        <v>46168</v>
      </c>
      <c r="I161" s="6" t="s">
        <v>291</v>
      </c>
      <c r="J161" s="10"/>
      <c r="K161" s="6" t="s">
        <v>498</v>
      </c>
      <c r="L161" s="6"/>
      <c r="M161" s="6" t="s">
        <v>74</v>
      </c>
      <c r="N161" s="6"/>
    </row>
    <row r="162" spans="1:14" x14ac:dyDescent="0.3">
      <c r="A162" s="6" t="s">
        <v>502</v>
      </c>
      <c r="B162" s="6" t="s">
        <v>275</v>
      </c>
      <c r="C162" s="7">
        <v>21082244182</v>
      </c>
      <c r="D162" s="7"/>
      <c r="E162" s="6" t="s">
        <v>60</v>
      </c>
      <c r="F162" s="8">
        <v>78986628</v>
      </c>
      <c r="G162" s="9">
        <v>45799</v>
      </c>
      <c r="H162" s="9">
        <v>46169</v>
      </c>
      <c r="I162" s="6"/>
      <c r="J162" s="10">
        <v>1903.28</v>
      </c>
      <c r="K162" s="6" t="s">
        <v>497</v>
      </c>
      <c r="L162" s="6">
        <v>380.66</v>
      </c>
      <c r="M162" s="6" t="s">
        <v>38</v>
      </c>
      <c r="N162" s="6" t="s">
        <v>276</v>
      </c>
    </row>
    <row r="163" spans="1:14" x14ac:dyDescent="0.3">
      <c r="A163" s="6" t="s">
        <v>502</v>
      </c>
      <c r="B163" s="6" t="s">
        <v>287</v>
      </c>
      <c r="C163" s="7">
        <v>28319639056</v>
      </c>
      <c r="D163" s="7">
        <v>5303200581</v>
      </c>
      <c r="E163" s="6" t="s">
        <v>50</v>
      </c>
      <c r="F163" s="8">
        <v>126435560</v>
      </c>
      <c r="G163" s="9">
        <v>45807</v>
      </c>
      <c r="H163" s="9">
        <v>46172</v>
      </c>
      <c r="I163" s="6" t="s">
        <v>288</v>
      </c>
      <c r="J163" s="10">
        <v>81797.899999999994</v>
      </c>
      <c r="K163" s="6" t="s">
        <v>495</v>
      </c>
      <c r="L163" s="6">
        <v>11421.19</v>
      </c>
      <c r="M163" s="6" t="s">
        <v>17</v>
      </c>
      <c r="N163" s="6" t="s">
        <v>289</v>
      </c>
    </row>
    <row r="164" spans="1:14" x14ac:dyDescent="0.3">
      <c r="A164" s="6" t="s">
        <v>501</v>
      </c>
      <c r="B164" s="6" t="s">
        <v>13</v>
      </c>
      <c r="C164" s="7">
        <v>6211022844</v>
      </c>
      <c r="D164" s="7"/>
      <c r="E164" s="6" t="s">
        <v>14</v>
      </c>
      <c r="F164" s="8">
        <v>840820021</v>
      </c>
      <c r="G164" s="9">
        <v>45808</v>
      </c>
      <c r="H164" s="9">
        <v>46173</v>
      </c>
      <c r="I164" s="6" t="s">
        <v>284</v>
      </c>
      <c r="J164" s="10">
        <v>14047.99</v>
      </c>
      <c r="K164" s="6" t="s">
        <v>496</v>
      </c>
      <c r="L164" s="6">
        <v>1254.1600000000001</v>
      </c>
      <c r="M164" s="6" t="s">
        <v>254</v>
      </c>
      <c r="N164" s="6"/>
    </row>
    <row r="165" spans="1:14" x14ac:dyDescent="0.3">
      <c r="A165" s="6" t="s">
        <v>502</v>
      </c>
      <c r="B165" s="6" t="s">
        <v>294</v>
      </c>
      <c r="C165" s="7">
        <v>23237530904</v>
      </c>
      <c r="D165" s="7"/>
      <c r="E165" s="6" t="s">
        <v>14</v>
      </c>
      <c r="F165" s="8">
        <v>409359655</v>
      </c>
      <c r="G165" s="9">
        <v>45808</v>
      </c>
      <c r="H165" s="9">
        <v>46173</v>
      </c>
      <c r="I165" s="6" t="s">
        <v>295</v>
      </c>
      <c r="J165" s="10">
        <v>7742.53</v>
      </c>
      <c r="K165" s="6" t="s">
        <v>498</v>
      </c>
      <c r="L165" s="6"/>
      <c r="M165" s="6" t="s">
        <v>74</v>
      </c>
      <c r="N165" s="6" t="s">
        <v>296</v>
      </c>
    </row>
    <row r="166" spans="1:14" x14ac:dyDescent="0.3">
      <c r="A166" s="6" t="s">
        <v>502</v>
      </c>
      <c r="B166" s="6" t="s">
        <v>290</v>
      </c>
      <c r="C166" s="7">
        <v>47209207618</v>
      </c>
      <c r="D166" s="7"/>
      <c r="E166" s="6" t="s">
        <v>50</v>
      </c>
      <c r="F166" s="8" t="s">
        <v>15</v>
      </c>
      <c r="G166" s="9">
        <v>45808</v>
      </c>
      <c r="H166" s="9">
        <v>46173</v>
      </c>
      <c r="I166" s="6" t="s">
        <v>291</v>
      </c>
      <c r="J166" s="10"/>
      <c r="K166" s="6" t="s">
        <v>498</v>
      </c>
      <c r="L166" s="6"/>
      <c r="M166" s="6" t="s">
        <v>74</v>
      </c>
      <c r="N166" s="6" t="s">
        <v>292</v>
      </c>
    </row>
    <row r="167" spans="1:14" x14ac:dyDescent="0.3">
      <c r="A167" s="6" t="s">
        <v>501</v>
      </c>
      <c r="B167" s="6" t="s">
        <v>124</v>
      </c>
      <c r="C167" s="7">
        <v>6211022844</v>
      </c>
      <c r="D167" s="7"/>
      <c r="E167" s="6" t="s">
        <v>14</v>
      </c>
      <c r="F167" s="8">
        <v>835761789</v>
      </c>
      <c r="G167" s="9">
        <v>45810</v>
      </c>
      <c r="H167" s="9">
        <v>46175</v>
      </c>
      <c r="I167" s="6" t="s">
        <v>298</v>
      </c>
      <c r="J167" s="10">
        <v>29400.99</v>
      </c>
      <c r="K167" s="6" t="s">
        <v>495</v>
      </c>
      <c r="L167" s="6">
        <v>2624.83</v>
      </c>
      <c r="M167" s="6" t="s">
        <v>254</v>
      </c>
      <c r="N167" s="6"/>
    </row>
    <row r="168" spans="1:14" x14ac:dyDescent="0.3">
      <c r="A168" s="6" t="s">
        <v>501</v>
      </c>
      <c r="B168" s="6" t="s">
        <v>124</v>
      </c>
      <c r="C168" s="7">
        <v>6211022844</v>
      </c>
      <c r="D168" s="7"/>
      <c r="E168" s="6" t="s">
        <v>14</v>
      </c>
      <c r="F168" s="8">
        <v>835763638</v>
      </c>
      <c r="G168" s="9">
        <v>45810</v>
      </c>
      <c r="H168" s="9">
        <v>46175</v>
      </c>
      <c r="I168" s="6" t="s">
        <v>299</v>
      </c>
      <c r="J168" s="10">
        <v>53290</v>
      </c>
      <c r="K168" s="6" t="s">
        <v>495</v>
      </c>
      <c r="L168" s="6">
        <v>4757.5600000000004</v>
      </c>
      <c r="M168" s="6" t="s">
        <v>254</v>
      </c>
      <c r="N168" s="6"/>
    </row>
    <row r="169" spans="1:14" x14ac:dyDescent="0.3">
      <c r="A169" s="6" t="s">
        <v>501</v>
      </c>
      <c r="B169" s="6" t="s">
        <v>124</v>
      </c>
      <c r="C169" s="7">
        <v>6211022844</v>
      </c>
      <c r="D169" s="7"/>
      <c r="E169" s="6" t="s">
        <v>14</v>
      </c>
      <c r="F169" s="8">
        <v>835765754</v>
      </c>
      <c r="G169" s="9">
        <v>45810</v>
      </c>
      <c r="H169" s="9">
        <v>46175</v>
      </c>
      <c r="I169" s="6" t="s">
        <v>300</v>
      </c>
      <c r="J169" s="10">
        <v>29400.99</v>
      </c>
      <c r="K169" s="6" t="s">
        <v>495</v>
      </c>
      <c r="L169" s="6">
        <v>2624.83</v>
      </c>
      <c r="M169" s="6" t="s">
        <v>254</v>
      </c>
      <c r="N169" s="6"/>
    </row>
    <row r="170" spans="1:14" x14ac:dyDescent="0.3">
      <c r="A170" s="6" t="s">
        <v>501</v>
      </c>
      <c r="B170" s="6" t="s">
        <v>124</v>
      </c>
      <c r="C170" s="7">
        <v>6211022844</v>
      </c>
      <c r="D170" s="7"/>
      <c r="E170" s="6" t="s">
        <v>14</v>
      </c>
      <c r="F170" s="8">
        <v>835767085</v>
      </c>
      <c r="G170" s="9">
        <v>45810</v>
      </c>
      <c r="H170" s="9">
        <v>46175</v>
      </c>
      <c r="I170" s="6" t="s">
        <v>301</v>
      </c>
      <c r="J170" s="10">
        <v>36751.99</v>
      </c>
      <c r="K170" s="6" t="s">
        <v>495</v>
      </c>
      <c r="L170" s="6">
        <v>3281.1</v>
      </c>
      <c r="M170" s="6" t="s">
        <v>254</v>
      </c>
      <c r="N170" s="6"/>
    </row>
    <row r="171" spans="1:14" x14ac:dyDescent="0.3">
      <c r="A171" s="6" t="s">
        <v>501</v>
      </c>
      <c r="B171" s="6" t="s">
        <v>124</v>
      </c>
      <c r="C171" s="7">
        <v>6211022844</v>
      </c>
      <c r="D171" s="7"/>
      <c r="E171" s="6" t="s">
        <v>14</v>
      </c>
      <c r="F171" s="8">
        <v>835768306</v>
      </c>
      <c r="G171" s="9">
        <v>45810</v>
      </c>
      <c r="H171" s="9">
        <v>46175</v>
      </c>
      <c r="I171" s="6" t="s">
        <v>302</v>
      </c>
      <c r="J171" s="10">
        <v>36751.99</v>
      </c>
      <c r="K171" s="6" t="s">
        <v>495</v>
      </c>
      <c r="L171" s="6">
        <v>3281.1</v>
      </c>
      <c r="M171" s="6" t="s">
        <v>254</v>
      </c>
      <c r="N171" s="6"/>
    </row>
    <row r="172" spans="1:14" x14ac:dyDescent="0.3">
      <c r="A172" s="6" t="s">
        <v>502</v>
      </c>
      <c r="B172" s="6" t="s">
        <v>306</v>
      </c>
      <c r="C172" s="7">
        <v>39502466656</v>
      </c>
      <c r="D172" s="7">
        <v>5425667787</v>
      </c>
      <c r="E172" s="6" t="s">
        <v>14</v>
      </c>
      <c r="F172" s="8" t="s">
        <v>15</v>
      </c>
      <c r="G172" s="9">
        <v>45812</v>
      </c>
      <c r="H172" s="9">
        <v>46177</v>
      </c>
      <c r="I172" s="6" t="s">
        <v>307</v>
      </c>
      <c r="J172" s="10"/>
      <c r="K172" s="6" t="s">
        <v>498</v>
      </c>
      <c r="L172" s="6"/>
      <c r="M172" s="6" t="s">
        <v>30</v>
      </c>
      <c r="N172" s="6" t="s">
        <v>308</v>
      </c>
    </row>
    <row r="173" spans="1:14" x14ac:dyDescent="0.3">
      <c r="A173" s="6" t="s">
        <v>502</v>
      </c>
      <c r="B173" s="6" t="s">
        <v>294</v>
      </c>
      <c r="C173" s="7">
        <v>23237530904</v>
      </c>
      <c r="D173" s="7"/>
      <c r="E173" s="6" t="s">
        <v>50</v>
      </c>
      <c r="F173" s="8">
        <v>351000082445265</v>
      </c>
      <c r="G173" s="9">
        <v>45813</v>
      </c>
      <c r="H173" s="9">
        <v>46178</v>
      </c>
      <c r="I173" s="6" t="s">
        <v>295</v>
      </c>
      <c r="J173" s="10">
        <v>8669.73</v>
      </c>
      <c r="K173" s="6" t="s">
        <v>498</v>
      </c>
      <c r="L173" s="6">
        <v>1238.53</v>
      </c>
      <c r="M173" s="6" t="s">
        <v>38</v>
      </c>
      <c r="N173" s="6" t="s">
        <v>297</v>
      </c>
    </row>
    <row r="174" spans="1:14" x14ac:dyDescent="0.3">
      <c r="A174" s="6" t="s">
        <v>501</v>
      </c>
      <c r="B174" s="6" t="s">
        <v>26</v>
      </c>
      <c r="C174" s="7">
        <v>1280416935</v>
      </c>
      <c r="D174" s="7"/>
      <c r="E174" s="6" t="s">
        <v>14</v>
      </c>
      <c r="F174" s="8" t="s">
        <v>15</v>
      </c>
      <c r="G174" s="9">
        <v>45815</v>
      </c>
      <c r="H174" s="9">
        <v>46180</v>
      </c>
      <c r="I174" s="6" t="s">
        <v>27</v>
      </c>
      <c r="J174" s="10"/>
      <c r="K174" s="6" t="s">
        <v>495</v>
      </c>
      <c r="L174" s="6"/>
      <c r="M174" s="6"/>
      <c r="N174" s="6"/>
    </row>
    <row r="175" spans="1:14" x14ac:dyDescent="0.3">
      <c r="A175" s="6" t="s">
        <v>501</v>
      </c>
      <c r="B175" s="6" t="s">
        <v>26</v>
      </c>
      <c r="C175" s="7">
        <v>1280416935</v>
      </c>
      <c r="D175" s="7"/>
      <c r="E175" s="6" t="s">
        <v>50</v>
      </c>
      <c r="F175" s="8" t="s">
        <v>15</v>
      </c>
      <c r="G175" s="9">
        <v>45815</v>
      </c>
      <c r="H175" s="9">
        <v>46180</v>
      </c>
      <c r="I175" s="6" t="s">
        <v>27</v>
      </c>
      <c r="J175" s="10"/>
      <c r="K175" s="6" t="s">
        <v>495</v>
      </c>
      <c r="L175" s="6"/>
      <c r="M175" s="6"/>
      <c r="N175" s="6"/>
    </row>
    <row r="176" spans="1:14" x14ac:dyDescent="0.3">
      <c r="A176" s="6" t="s">
        <v>502</v>
      </c>
      <c r="B176" s="6" t="s">
        <v>303</v>
      </c>
      <c r="C176" s="7">
        <v>24344359464</v>
      </c>
      <c r="D176" s="7">
        <v>5063272509</v>
      </c>
      <c r="E176" s="6" t="s">
        <v>14</v>
      </c>
      <c r="F176" s="8">
        <v>299891019290</v>
      </c>
      <c r="G176" s="9">
        <v>45815</v>
      </c>
      <c r="H176" s="9">
        <v>46180</v>
      </c>
      <c r="I176" s="6" t="s">
        <v>304</v>
      </c>
      <c r="J176" s="10">
        <v>8368.44</v>
      </c>
      <c r="K176" s="6" t="s">
        <v>498</v>
      </c>
      <c r="L176" s="6">
        <v>448.31</v>
      </c>
      <c r="M176" s="6" t="s">
        <v>137</v>
      </c>
      <c r="N176" s="6">
        <v>30603</v>
      </c>
    </row>
    <row r="177" spans="1:14" x14ac:dyDescent="0.3">
      <c r="A177" s="6" t="s">
        <v>502</v>
      </c>
      <c r="B177" s="6" t="s">
        <v>293</v>
      </c>
      <c r="C177" s="7">
        <v>18206568354</v>
      </c>
      <c r="D177" s="7"/>
      <c r="E177" s="6" t="s">
        <v>112</v>
      </c>
      <c r="F177" s="8">
        <v>1276501</v>
      </c>
      <c r="G177" s="9">
        <v>45816</v>
      </c>
      <c r="H177" s="9">
        <v>46181</v>
      </c>
      <c r="I177" s="6"/>
      <c r="J177" s="10">
        <v>76618</v>
      </c>
      <c r="K177" s="6" t="s">
        <v>495</v>
      </c>
      <c r="L177" s="6"/>
      <c r="M177" s="6" t="s">
        <v>57</v>
      </c>
      <c r="N177" s="6" t="s">
        <v>113</v>
      </c>
    </row>
    <row r="178" spans="1:14" x14ac:dyDescent="0.3">
      <c r="A178" s="6" t="s">
        <v>501</v>
      </c>
      <c r="B178" s="6" t="s">
        <v>285</v>
      </c>
      <c r="C178" s="7">
        <v>6141309416</v>
      </c>
      <c r="D178" s="7">
        <v>5416905144</v>
      </c>
      <c r="E178" s="6" t="s">
        <v>60</v>
      </c>
      <c r="F178" s="8">
        <v>79155067</v>
      </c>
      <c r="G178" s="9">
        <v>45818</v>
      </c>
      <c r="H178" s="9">
        <v>46183</v>
      </c>
      <c r="I178" s="6"/>
      <c r="J178" s="10">
        <v>3141.69</v>
      </c>
      <c r="K178" s="6" t="s">
        <v>497</v>
      </c>
      <c r="L178" s="6">
        <v>628.34</v>
      </c>
      <c r="M178" s="6" t="s">
        <v>38</v>
      </c>
      <c r="N178" s="6" t="s">
        <v>286</v>
      </c>
    </row>
    <row r="179" spans="1:14" x14ac:dyDescent="0.3">
      <c r="A179" s="6" t="s">
        <v>502</v>
      </c>
      <c r="B179" s="6" t="s">
        <v>309</v>
      </c>
      <c r="C179" s="7">
        <v>43720717988</v>
      </c>
      <c r="D179" s="7"/>
      <c r="E179" s="6" t="s">
        <v>50</v>
      </c>
      <c r="F179" s="8">
        <v>100000381269857</v>
      </c>
      <c r="G179" s="9">
        <v>45818</v>
      </c>
      <c r="H179" s="9">
        <v>46183</v>
      </c>
      <c r="I179" s="6" t="s">
        <v>310</v>
      </c>
      <c r="J179" s="10">
        <v>24274.12</v>
      </c>
      <c r="K179" s="6" t="s">
        <v>497</v>
      </c>
      <c r="L179" s="6">
        <v>3467.73</v>
      </c>
      <c r="M179" s="6" t="s">
        <v>64</v>
      </c>
      <c r="N179" s="6">
        <v>31990</v>
      </c>
    </row>
    <row r="180" spans="1:14" x14ac:dyDescent="0.3">
      <c r="A180" s="6" t="s">
        <v>501</v>
      </c>
      <c r="B180" s="6" t="s">
        <v>313</v>
      </c>
      <c r="C180" s="7">
        <v>2150595484</v>
      </c>
      <c r="D180" s="7"/>
      <c r="E180" s="6" t="s">
        <v>166</v>
      </c>
      <c r="F180" s="8" t="s">
        <v>15</v>
      </c>
      <c r="G180" s="9">
        <v>45822</v>
      </c>
      <c r="H180" s="9">
        <v>46187</v>
      </c>
      <c r="I180" s="6" t="s">
        <v>314</v>
      </c>
      <c r="J180" s="10"/>
      <c r="K180" s="6" t="s">
        <v>495</v>
      </c>
      <c r="L180" s="6"/>
      <c r="M180" s="6" t="s">
        <v>116</v>
      </c>
      <c r="N180" s="6"/>
    </row>
    <row r="181" spans="1:14" x14ac:dyDescent="0.3">
      <c r="A181" s="6" t="s">
        <v>502</v>
      </c>
      <c r="B181" s="6" t="s">
        <v>315</v>
      </c>
      <c r="C181" s="7">
        <v>29854545642</v>
      </c>
      <c r="D181" s="7"/>
      <c r="E181" s="6" t="s">
        <v>166</v>
      </c>
      <c r="F181" s="8">
        <v>299891019374</v>
      </c>
      <c r="G181" s="9">
        <v>45823</v>
      </c>
      <c r="H181" s="9">
        <v>46188</v>
      </c>
      <c r="I181" s="6" t="s">
        <v>316</v>
      </c>
      <c r="J181" s="10">
        <v>15342.85</v>
      </c>
      <c r="K181" s="6" t="s">
        <v>497</v>
      </c>
      <c r="L181" s="6">
        <v>836.89</v>
      </c>
      <c r="M181" s="6" t="s">
        <v>137</v>
      </c>
      <c r="N181" s="6" t="s">
        <v>317</v>
      </c>
    </row>
    <row r="182" spans="1:14" x14ac:dyDescent="0.3">
      <c r="A182" s="6" t="s">
        <v>502</v>
      </c>
      <c r="B182" s="6" t="s">
        <v>315</v>
      </c>
      <c r="C182" s="7">
        <v>29854545642</v>
      </c>
      <c r="D182" s="7"/>
      <c r="E182" s="6" t="s">
        <v>50</v>
      </c>
      <c r="F182" s="8">
        <v>100000383309965</v>
      </c>
      <c r="G182" s="9">
        <v>45823</v>
      </c>
      <c r="H182" s="9">
        <v>46188</v>
      </c>
      <c r="I182" s="6" t="s">
        <v>316</v>
      </c>
      <c r="J182" s="10">
        <v>9836.65</v>
      </c>
      <c r="K182" s="6" t="s">
        <v>497</v>
      </c>
      <c r="L182" s="6">
        <v>1405.24</v>
      </c>
      <c r="M182" s="6" t="s">
        <v>64</v>
      </c>
      <c r="N182" s="6" t="s">
        <v>317</v>
      </c>
    </row>
    <row r="183" spans="1:14" x14ac:dyDescent="0.3">
      <c r="A183" s="6" t="s">
        <v>502</v>
      </c>
      <c r="B183" s="6" t="s">
        <v>311</v>
      </c>
      <c r="C183" s="7">
        <v>38587298572</v>
      </c>
      <c r="D183" s="7"/>
      <c r="E183" s="6" t="s">
        <v>14</v>
      </c>
      <c r="F183" s="8">
        <v>126575762</v>
      </c>
      <c r="G183" s="9">
        <v>45823</v>
      </c>
      <c r="H183" s="9">
        <v>46188</v>
      </c>
      <c r="I183" s="6" t="s">
        <v>312</v>
      </c>
      <c r="J183" s="10">
        <v>9428.52</v>
      </c>
      <c r="K183" s="6" t="s">
        <v>497</v>
      </c>
      <c r="L183" s="6">
        <v>928.24</v>
      </c>
      <c r="M183" s="6" t="s">
        <v>17</v>
      </c>
      <c r="N183" s="6">
        <v>18733</v>
      </c>
    </row>
    <row r="184" spans="1:14" x14ac:dyDescent="0.3">
      <c r="A184" s="6" t="s">
        <v>502</v>
      </c>
      <c r="B184" s="6" t="s">
        <v>311</v>
      </c>
      <c r="C184" s="7">
        <v>38587298572</v>
      </c>
      <c r="D184" s="7"/>
      <c r="E184" s="6" t="s">
        <v>50</v>
      </c>
      <c r="F184" s="8">
        <v>351000083086724</v>
      </c>
      <c r="G184" s="9">
        <v>45823</v>
      </c>
      <c r="H184" s="9">
        <v>46188</v>
      </c>
      <c r="I184" s="6" t="s">
        <v>312</v>
      </c>
      <c r="J184" s="10">
        <v>12944.82</v>
      </c>
      <c r="K184" s="6" t="s">
        <v>497</v>
      </c>
      <c r="L184" s="6">
        <v>1846.26</v>
      </c>
      <c r="M184" s="6" t="s">
        <v>38</v>
      </c>
      <c r="N184" s="6">
        <v>18733</v>
      </c>
    </row>
    <row r="185" spans="1:14" x14ac:dyDescent="0.3">
      <c r="A185" s="6" t="s">
        <v>502</v>
      </c>
      <c r="B185" s="6" t="s">
        <v>318</v>
      </c>
      <c r="C185" s="7">
        <v>51538582018</v>
      </c>
      <c r="D185" s="7">
        <v>5444534253</v>
      </c>
      <c r="E185" s="6" t="s">
        <v>14</v>
      </c>
      <c r="F185" s="8">
        <v>301000198750671</v>
      </c>
      <c r="G185" s="9">
        <v>45823</v>
      </c>
      <c r="H185" s="9">
        <v>46188</v>
      </c>
      <c r="I185" s="6" t="s">
        <v>319</v>
      </c>
      <c r="J185" s="10">
        <v>13822.97</v>
      </c>
      <c r="K185" s="6" t="s">
        <v>497</v>
      </c>
      <c r="L185" s="6">
        <v>1245.31</v>
      </c>
      <c r="M185" s="6" t="s">
        <v>38</v>
      </c>
      <c r="N185" s="6">
        <v>33561</v>
      </c>
    </row>
    <row r="186" spans="1:14" x14ac:dyDescent="0.3">
      <c r="A186" s="6" t="s">
        <v>502</v>
      </c>
      <c r="B186" s="6" t="s">
        <v>318</v>
      </c>
      <c r="C186" s="7">
        <v>51538582018</v>
      </c>
      <c r="D186" s="7">
        <v>5444534253</v>
      </c>
      <c r="E186" s="6" t="s">
        <v>50</v>
      </c>
      <c r="F186" s="8">
        <v>100000383858327</v>
      </c>
      <c r="G186" s="9">
        <v>45824</v>
      </c>
      <c r="H186" s="9">
        <v>46189</v>
      </c>
      <c r="I186" s="6" t="s">
        <v>319</v>
      </c>
      <c r="J186" s="10">
        <v>10449.39</v>
      </c>
      <c r="K186" s="6" t="s">
        <v>497</v>
      </c>
      <c r="L186" s="6">
        <v>1492.77</v>
      </c>
      <c r="M186" s="6" t="s">
        <v>64</v>
      </c>
      <c r="N186" s="6"/>
    </row>
    <row r="187" spans="1:14" x14ac:dyDescent="0.3">
      <c r="A187" s="6" t="s">
        <v>502</v>
      </c>
      <c r="B187" s="6" t="s">
        <v>320</v>
      </c>
      <c r="C187" s="7">
        <v>19703341952</v>
      </c>
      <c r="D187" s="7"/>
      <c r="E187" s="6" t="s">
        <v>56</v>
      </c>
      <c r="F187" s="8">
        <v>1271319925</v>
      </c>
      <c r="G187" s="9">
        <v>45826</v>
      </c>
      <c r="H187" s="9">
        <v>46191</v>
      </c>
      <c r="I187" s="6"/>
      <c r="J187" s="10">
        <v>16050</v>
      </c>
      <c r="K187" s="6" t="s">
        <v>498</v>
      </c>
      <c r="L187" s="6">
        <v>1929.85</v>
      </c>
      <c r="M187" s="6" t="s">
        <v>30</v>
      </c>
      <c r="N187" s="6"/>
    </row>
    <row r="188" spans="1:14" x14ac:dyDescent="0.3">
      <c r="A188" s="6" t="s">
        <v>501</v>
      </c>
      <c r="B188" s="6" t="s">
        <v>327</v>
      </c>
      <c r="C188" s="7">
        <v>3961624503</v>
      </c>
      <c r="D188" s="7"/>
      <c r="E188" s="6" t="s">
        <v>504</v>
      </c>
      <c r="F188" s="8">
        <v>848964776</v>
      </c>
      <c r="G188" s="9">
        <v>45827</v>
      </c>
      <c r="H188" s="9">
        <v>46192</v>
      </c>
      <c r="I188" s="6"/>
      <c r="J188" s="10">
        <v>2597.87</v>
      </c>
      <c r="K188" s="6" t="s">
        <v>498</v>
      </c>
      <c r="L188" s="6">
        <v>616.91</v>
      </c>
      <c r="M188" s="6" t="s">
        <v>116</v>
      </c>
      <c r="N188" s="6"/>
    </row>
    <row r="189" spans="1:14" x14ac:dyDescent="0.3">
      <c r="A189" s="6" t="s">
        <v>502</v>
      </c>
      <c r="B189" s="6" t="s">
        <v>323</v>
      </c>
      <c r="C189" s="7">
        <v>24413357100</v>
      </c>
      <c r="D189" s="7"/>
      <c r="E189" s="6" t="s">
        <v>50</v>
      </c>
      <c r="F189" s="8" t="s">
        <v>15</v>
      </c>
      <c r="G189" s="9">
        <v>45827</v>
      </c>
      <c r="H189" s="9">
        <v>46192</v>
      </c>
      <c r="I189" s="6" t="s">
        <v>324</v>
      </c>
      <c r="J189" s="10"/>
      <c r="K189" s="6" t="s">
        <v>498</v>
      </c>
      <c r="L189" s="6"/>
      <c r="M189" s="6" t="s">
        <v>17</v>
      </c>
      <c r="N189" s="6"/>
    </row>
    <row r="190" spans="1:14" x14ac:dyDescent="0.3">
      <c r="A190" s="6" t="s">
        <v>502</v>
      </c>
      <c r="B190" s="6" t="s">
        <v>323</v>
      </c>
      <c r="C190" s="7">
        <v>24413357100</v>
      </c>
      <c r="D190" s="7"/>
      <c r="E190" s="6" t="s">
        <v>14</v>
      </c>
      <c r="F190" s="8">
        <v>100000384813966</v>
      </c>
      <c r="G190" s="9">
        <v>45827</v>
      </c>
      <c r="H190" s="9">
        <v>46192</v>
      </c>
      <c r="I190" s="6" t="s">
        <v>324</v>
      </c>
      <c r="J190" s="10">
        <v>24795.81</v>
      </c>
      <c r="K190" s="6" t="s">
        <v>498</v>
      </c>
      <c r="L190" s="6">
        <v>2260.14</v>
      </c>
      <c r="M190" s="6" t="s">
        <v>64</v>
      </c>
      <c r="N190" s="6"/>
    </row>
    <row r="191" spans="1:14" x14ac:dyDescent="0.3">
      <c r="A191" s="6" t="s">
        <v>502</v>
      </c>
      <c r="B191" s="6" t="s">
        <v>183</v>
      </c>
      <c r="C191" s="7">
        <v>62353221228</v>
      </c>
      <c r="D191" s="7"/>
      <c r="E191" s="6" t="s">
        <v>14</v>
      </c>
      <c r="F191" s="8">
        <v>100000381214811</v>
      </c>
      <c r="G191" s="9">
        <v>45829</v>
      </c>
      <c r="H191" s="9">
        <v>46194</v>
      </c>
      <c r="I191" s="6" t="s">
        <v>325</v>
      </c>
      <c r="J191" s="10">
        <v>8654.4699999999993</v>
      </c>
      <c r="K191" s="6" t="s">
        <v>498</v>
      </c>
      <c r="L191" s="6">
        <v>785.07</v>
      </c>
      <c r="M191" s="6" t="s">
        <v>64</v>
      </c>
      <c r="N191" s="6" t="s">
        <v>326</v>
      </c>
    </row>
    <row r="192" spans="1:14" x14ac:dyDescent="0.3">
      <c r="A192" s="6" t="s">
        <v>502</v>
      </c>
      <c r="B192" s="6" t="s">
        <v>183</v>
      </c>
      <c r="C192" s="7">
        <v>62353221228</v>
      </c>
      <c r="D192" s="7"/>
      <c r="E192" s="6" t="s">
        <v>50</v>
      </c>
      <c r="F192" s="8">
        <v>351000084161001</v>
      </c>
      <c r="G192" s="9">
        <v>45829</v>
      </c>
      <c r="H192" s="9">
        <v>46194</v>
      </c>
      <c r="I192" s="6" t="s">
        <v>325</v>
      </c>
      <c r="J192" s="10">
        <v>16693.93</v>
      </c>
      <c r="K192" s="6" t="s">
        <v>498</v>
      </c>
      <c r="L192" s="6">
        <v>2384.85</v>
      </c>
      <c r="M192" s="6" t="s">
        <v>38</v>
      </c>
      <c r="N192" s="6" t="s">
        <v>326</v>
      </c>
    </row>
    <row r="193" spans="1:14" x14ac:dyDescent="0.3">
      <c r="A193" s="6" t="s">
        <v>501</v>
      </c>
      <c r="B193" s="6" t="s">
        <v>124</v>
      </c>
      <c r="C193" s="7">
        <v>6211022844</v>
      </c>
      <c r="D193" s="7"/>
      <c r="E193" s="6" t="s">
        <v>60</v>
      </c>
      <c r="F193" s="8">
        <v>84013928</v>
      </c>
      <c r="G193" s="9">
        <v>45831</v>
      </c>
      <c r="H193" s="9">
        <v>46196</v>
      </c>
      <c r="I193" s="6"/>
      <c r="J193" s="10">
        <v>4197.76</v>
      </c>
      <c r="K193" s="6" t="s">
        <v>495</v>
      </c>
      <c r="L193" s="6">
        <v>671.64</v>
      </c>
      <c r="M193" s="6" t="s">
        <v>116</v>
      </c>
      <c r="N193" s="6" t="s">
        <v>328</v>
      </c>
    </row>
    <row r="194" spans="1:14" x14ac:dyDescent="0.3">
      <c r="A194" s="6" t="s">
        <v>502</v>
      </c>
      <c r="B194" s="6" t="s">
        <v>334</v>
      </c>
      <c r="C194" s="7">
        <v>19430523928</v>
      </c>
      <c r="D194" s="7"/>
      <c r="E194" s="6" t="s">
        <v>50</v>
      </c>
      <c r="F194" s="8" t="s">
        <v>15</v>
      </c>
      <c r="G194" s="9">
        <v>45831</v>
      </c>
      <c r="H194" s="9">
        <v>46196</v>
      </c>
      <c r="I194" s="6" t="s">
        <v>335</v>
      </c>
      <c r="J194" s="10"/>
      <c r="K194" s="6" t="s">
        <v>498</v>
      </c>
      <c r="L194" s="6"/>
      <c r="M194" s="6" t="s">
        <v>74</v>
      </c>
      <c r="N194" s="6" t="s">
        <v>336</v>
      </c>
    </row>
    <row r="195" spans="1:14" x14ac:dyDescent="0.3">
      <c r="A195" s="6" t="s">
        <v>502</v>
      </c>
      <c r="B195" s="6" t="s">
        <v>334</v>
      </c>
      <c r="C195" s="7">
        <v>19430523928</v>
      </c>
      <c r="D195" s="7"/>
      <c r="E195" s="6" t="s">
        <v>14</v>
      </c>
      <c r="F195" s="8" t="s">
        <v>15</v>
      </c>
      <c r="G195" s="9">
        <v>45832</v>
      </c>
      <c r="H195" s="9">
        <v>46197</v>
      </c>
      <c r="I195" s="6" t="s">
        <v>335</v>
      </c>
      <c r="J195" s="10"/>
      <c r="K195" s="6" t="s">
        <v>498</v>
      </c>
      <c r="L195" s="6"/>
      <c r="M195" s="6" t="s">
        <v>45</v>
      </c>
      <c r="N195" s="6" t="s">
        <v>336</v>
      </c>
    </row>
    <row r="196" spans="1:14" x14ac:dyDescent="0.3">
      <c r="A196" s="6" t="s">
        <v>502</v>
      </c>
      <c r="B196" s="6" t="s">
        <v>321</v>
      </c>
      <c r="C196" s="7">
        <v>24347359300</v>
      </c>
      <c r="D196" s="7"/>
      <c r="E196" s="6" t="s">
        <v>60</v>
      </c>
      <c r="F196" s="8">
        <v>59473497</v>
      </c>
      <c r="G196" s="9">
        <v>45838</v>
      </c>
      <c r="H196" s="9">
        <v>46203</v>
      </c>
      <c r="I196" s="6"/>
      <c r="J196" s="10">
        <v>2253.35</v>
      </c>
      <c r="K196" s="6" t="s">
        <v>498</v>
      </c>
      <c r="L196" s="6">
        <v>304.2</v>
      </c>
      <c r="M196" s="6" t="s">
        <v>116</v>
      </c>
      <c r="N196" s="6" t="s">
        <v>322</v>
      </c>
    </row>
    <row r="197" spans="1:14" x14ac:dyDescent="0.3">
      <c r="A197" s="6" t="s">
        <v>502</v>
      </c>
      <c r="B197" s="6" t="s">
        <v>358</v>
      </c>
      <c r="C197" s="7">
        <v>35788545948</v>
      </c>
      <c r="D197" s="7">
        <v>5352524703</v>
      </c>
      <c r="E197" s="6" t="s">
        <v>14</v>
      </c>
      <c r="F197" s="8" t="s">
        <v>15</v>
      </c>
      <c r="G197" s="9">
        <v>45838</v>
      </c>
      <c r="H197" s="9">
        <v>46203</v>
      </c>
      <c r="I197" s="6" t="s">
        <v>359</v>
      </c>
      <c r="J197" s="10"/>
      <c r="K197" s="6" t="s">
        <v>495</v>
      </c>
      <c r="L197" s="6"/>
      <c r="M197" s="6" t="s">
        <v>137</v>
      </c>
      <c r="N197" s="6"/>
    </row>
    <row r="198" spans="1:14" x14ac:dyDescent="0.3">
      <c r="A198" s="6" t="s">
        <v>502</v>
      </c>
      <c r="B198" s="6" t="s">
        <v>32</v>
      </c>
      <c r="C198" s="7">
        <v>41593394794</v>
      </c>
      <c r="D198" s="7">
        <v>5322158151</v>
      </c>
      <c r="E198" s="6" t="s">
        <v>14</v>
      </c>
      <c r="F198" s="8" t="s">
        <v>15</v>
      </c>
      <c r="G198" s="9">
        <v>45839</v>
      </c>
      <c r="H198" s="9">
        <v>46204</v>
      </c>
      <c r="I198" s="6" t="s">
        <v>33</v>
      </c>
      <c r="J198" s="10"/>
      <c r="K198" s="6" t="s">
        <v>498</v>
      </c>
      <c r="L198" s="6"/>
      <c r="M198" s="6" t="s">
        <v>34</v>
      </c>
      <c r="N198" s="6" t="s">
        <v>35</v>
      </c>
    </row>
    <row r="199" spans="1:14" x14ac:dyDescent="0.3">
      <c r="A199" s="6" t="s">
        <v>502</v>
      </c>
      <c r="B199" s="6" t="s">
        <v>329</v>
      </c>
      <c r="C199" s="7">
        <v>30229806572</v>
      </c>
      <c r="D199" s="7">
        <v>5352212019</v>
      </c>
      <c r="E199" s="6" t="s">
        <v>14</v>
      </c>
      <c r="F199" s="8" t="s">
        <v>15</v>
      </c>
      <c r="G199" s="9">
        <v>45840</v>
      </c>
      <c r="H199" s="9">
        <v>46205</v>
      </c>
      <c r="I199" s="6" t="s">
        <v>330</v>
      </c>
      <c r="J199" s="10"/>
      <c r="K199" s="6" t="s">
        <v>497</v>
      </c>
      <c r="L199" s="6"/>
      <c r="M199" s="6" t="s">
        <v>331</v>
      </c>
      <c r="N199" s="6" t="s">
        <v>332</v>
      </c>
    </row>
    <row r="200" spans="1:14" x14ac:dyDescent="0.3">
      <c r="A200" s="6" t="s">
        <v>502</v>
      </c>
      <c r="B200" s="6" t="s">
        <v>32</v>
      </c>
      <c r="C200" s="7">
        <v>41593394794</v>
      </c>
      <c r="D200" s="7">
        <v>5322158151</v>
      </c>
      <c r="E200" s="6" t="s">
        <v>50</v>
      </c>
      <c r="F200" s="8" t="s">
        <v>15</v>
      </c>
      <c r="G200" s="9">
        <v>45842</v>
      </c>
      <c r="H200" s="9">
        <v>46207</v>
      </c>
      <c r="I200" s="6" t="s">
        <v>33</v>
      </c>
      <c r="J200" s="10"/>
      <c r="K200" s="6" t="s">
        <v>498</v>
      </c>
      <c r="L200" s="6"/>
      <c r="M200" s="6" t="s">
        <v>34</v>
      </c>
      <c r="N200" s="6" t="s">
        <v>338</v>
      </c>
    </row>
    <row r="201" spans="1:14" x14ac:dyDescent="0.3">
      <c r="A201" s="6" t="s">
        <v>502</v>
      </c>
      <c r="B201" s="6" t="s">
        <v>28</v>
      </c>
      <c r="C201" s="7">
        <v>63826350766</v>
      </c>
      <c r="D201" s="7">
        <v>5367388932</v>
      </c>
      <c r="E201" s="6" t="s">
        <v>14</v>
      </c>
      <c r="F201" s="8" t="s">
        <v>15</v>
      </c>
      <c r="G201" s="9">
        <v>45842</v>
      </c>
      <c r="H201" s="9">
        <v>46207</v>
      </c>
      <c r="I201" s="6" t="s">
        <v>29</v>
      </c>
      <c r="J201" s="10"/>
      <c r="K201" s="6" t="s">
        <v>498</v>
      </c>
      <c r="L201" s="6"/>
      <c r="M201" s="6" t="s">
        <v>30</v>
      </c>
      <c r="N201" s="6" t="s">
        <v>31</v>
      </c>
    </row>
    <row r="202" spans="1:14" x14ac:dyDescent="0.3">
      <c r="A202" s="6" t="s">
        <v>502</v>
      </c>
      <c r="B202" s="6" t="s">
        <v>28</v>
      </c>
      <c r="C202" s="7">
        <v>63826350766</v>
      </c>
      <c r="D202" s="7">
        <v>5367388932</v>
      </c>
      <c r="E202" s="6" t="s">
        <v>50</v>
      </c>
      <c r="F202" s="8" t="s">
        <v>15</v>
      </c>
      <c r="G202" s="9">
        <v>45843</v>
      </c>
      <c r="H202" s="9">
        <v>46208</v>
      </c>
      <c r="I202" s="6" t="s">
        <v>29</v>
      </c>
      <c r="J202" s="10"/>
      <c r="K202" s="6" t="s">
        <v>498</v>
      </c>
      <c r="L202" s="6"/>
      <c r="M202" s="6" t="s">
        <v>38</v>
      </c>
      <c r="N202" s="6" t="s">
        <v>31</v>
      </c>
    </row>
    <row r="203" spans="1:14" x14ac:dyDescent="0.3">
      <c r="A203" s="6" t="s">
        <v>501</v>
      </c>
      <c r="B203" s="6" t="s">
        <v>124</v>
      </c>
      <c r="C203" s="7">
        <v>6211022844</v>
      </c>
      <c r="D203" s="7"/>
      <c r="E203" s="6" t="s">
        <v>14</v>
      </c>
      <c r="F203" s="8">
        <v>856360843</v>
      </c>
      <c r="G203" s="9">
        <v>45847</v>
      </c>
      <c r="H203" s="9">
        <v>46212</v>
      </c>
      <c r="I203" s="6" t="s">
        <v>346</v>
      </c>
      <c r="J203" s="10">
        <v>59828.99</v>
      </c>
      <c r="K203" s="6" t="s">
        <v>495</v>
      </c>
      <c r="L203" s="6">
        <v>5341.34</v>
      </c>
      <c r="M203" s="6" t="s">
        <v>116</v>
      </c>
      <c r="N203" s="6"/>
    </row>
    <row r="204" spans="1:14" x14ac:dyDescent="0.3">
      <c r="A204" s="6" t="s">
        <v>501</v>
      </c>
      <c r="B204" s="6" t="s">
        <v>124</v>
      </c>
      <c r="C204" s="7">
        <v>6211022844</v>
      </c>
      <c r="D204" s="7"/>
      <c r="E204" s="6" t="s">
        <v>14</v>
      </c>
      <c r="F204" s="8">
        <v>856364558</v>
      </c>
      <c r="G204" s="9">
        <v>45847</v>
      </c>
      <c r="H204" s="9">
        <v>46212</v>
      </c>
      <c r="I204" s="6" t="s">
        <v>347</v>
      </c>
      <c r="J204" s="10">
        <v>59828.99</v>
      </c>
      <c r="K204" s="6" t="s">
        <v>495</v>
      </c>
      <c r="L204" s="6">
        <v>5341.34</v>
      </c>
      <c r="M204" s="6" t="s">
        <v>116</v>
      </c>
      <c r="N204" s="6"/>
    </row>
    <row r="205" spans="1:14" x14ac:dyDescent="0.3">
      <c r="A205" s="6" t="s">
        <v>502</v>
      </c>
      <c r="B205" s="6" t="s">
        <v>340</v>
      </c>
      <c r="C205" s="7">
        <v>34318636958</v>
      </c>
      <c r="D205" s="7"/>
      <c r="E205" s="6" t="s">
        <v>14</v>
      </c>
      <c r="F205" s="8">
        <v>125539501</v>
      </c>
      <c r="G205" s="9">
        <v>45848</v>
      </c>
      <c r="H205" s="9">
        <v>46213</v>
      </c>
      <c r="I205" s="6" t="s">
        <v>341</v>
      </c>
      <c r="J205" s="10">
        <v>3248.03</v>
      </c>
      <c r="K205" s="6" t="s">
        <v>498</v>
      </c>
      <c r="L205" s="6">
        <v>291.93</v>
      </c>
      <c r="M205" s="6" t="s">
        <v>61</v>
      </c>
      <c r="N205" s="6" t="s">
        <v>342</v>
      </c>
    </row>
    <row r="206" spans="1:14" x14ac:dyDescent="0.3">
      <c r="A206" s="6" t="s">
        <v>502</v>
      </c>
      <c r="B206" s="6" t="s">
        <v>348</v>
      </c>
      <c r="C206" s="7">
        <v>18682232664</v>
      </c>
      <c r="D206" s="7"/>
      <c r="E206" s="6" t="s">
        <v>14</v>
      </c>
      <c r="F206" s="8" t="s">
        <v>15</v>
      </c>
      <c r="G206" s="9">
        <v>45849</v>
      </c>
      <c r="H206" s="9">
        <v>46214</v>
      </c>
      <c r="I206" s="6" t="s">
        <v>349</v>
      </c>
      <c r="J206" s="10"/>
      <c r="K206" s="6" t="s">
        <v>495</v>
      </c>
      <c r="L206" s="6"/>
      <c r="M206" s="6" t="s">
        <v>244</v>
      </c>
      <c r="N206" s="6" t="s">
        <v>350</v>
      </c>
    </row>
    <row r="207" spans="1:14" x14ac:dyDescent="0.3">
      <c r="A207" s="6" t="s">
        <v>502</v>
      </c>
      <c r="B207" s="6" t="s">
        <v>348</v>
      </c>
      <c r="C207" s="7">
        <v>18682232664</v>
      </c>
      <c r="D207" s="7"/>
      <c r="E207" s="6" t="s">
        <v>50</v>
      </c>
      <c r="F207" s="8" t="s">
        <v>15</v>
      </c>
      <c r="G207" s="9">
        <v>45849</v>
      </c>
      <c r="H207" s="9">
        <v>46214</v>
      </c>
      <c r="I207" s="6" t="s">
        <v>349</v>
      </c>
      <c r="J207" s="10"/>
      <c r="K207" s="6" t="s">
        <v>495</v>
      </c>
      <c r="L207" s="6"/>
      <c r="M207" s="6" t="s">
        <v>38</v>
      </c>
      <c r="N207" s="6"/>
    </row>
    <row r="208" spans="1:14" x14ac:dyDescent="0.3">
      <c r="A208" s="6" t="s">
        <v>502</v>
      </c>
      <c r="B208" s="6" t="s">
        <v>201</v>
      </c>
      <c r="C208" s="7">
        <v>38581298790</v>
      </c>
      <c r="D208" s="7">
        <v>5324280877</v>
      </c>
      <c r="E208" s="6" t="s">
        <v>60</v>
      </c>
      <c r="F208" s="8">
        <v>39138768</v>
      </c>
      <c r="G208" s="9">
        <v>45841</v>
      </c>
      <c r="H208" s="9">
        <v>46216</v>
      </c>
      <c r="I208" s="6"/>
      <c r="J208" s="10">
        <v>1579</v>
      </c>
      <c r="K208" s="6" t="s">
        <v>497</v>
      </c>
      <c r="L208" s="6">
        <v>213.16</v>
      </c>
      <c r="M208" s="6" t="s">
        <v>254</v>
      </c>
      <c r="N208" s="6" t="s">
        <v>339</v>
      </c>
    </row>
    <row r="209" spans="1:14" x14ac:dyDescent="0.3">
      <c r="A209" s="6" t="s">
        <v>502</v>
      </c>
      <c r="B209" s="6" t="s">
        <v>104</v>
      </c>
      <c r="C209" s="7">
        <v>69805191504</v>
      </c>
      <c r="D209" s="7">
        <v>5530987706</v>
      </c>
      <c r="E209" s="6" t="s">
        <v>60</v>
      </c>
      <c r="F209" s="8">
        <v>84386196</v>
      </c>
      <c r="G209" s="9">
        <v>45855</v>
      </c>
      <c r="H209" s="9">
        <v>46220</v>
      </c>
      <c r="I209" s="6"/>
      <c r="J209" s="10">
        <v>1579</v>
      </c>
      <c r="K209" s="6" t="s">
        <v>498</v>
      </c>
      <c r="L209" s="6">
        <v>252.64</v>
      </c>
      <c r="M209" s="6" t="s">
        <v>116</v>
      </c>
      <c r="N209" s="6" t="s">
        <v>353</v>
      </c>
    </row>
    <row r="210" spans="1:14" x14ac:dyDescent="0.3">
      <c r="A210" s="6" t="s">
        <v>502</v>
      </c>
      <c r="B210" s="6" t="s">
        <v>343</v>
      </c>
      <c r="C210" s="7">
        <v>52861538918</v>
      </c>
      <c r="D210" s="7"/>
      <c r="E210" s="6" t="s">
        <v>50</v>
      </c>
      <c r="F210" s="8" t="s">
        <v>15</v>
      </c>
      <c r="G210" s="9">
        <v>45857</v>
      </c>
      <c r="H210" s="9">
        <v>46222</v>
      </c>
      <c r="I210" s="6" t="s">
        <v>344</v>
      </c>
      <c r="J210" s="10"/>
      <c r="K210" s="6" t="s">
        <v>498</v>
      </c>
      <c r="L210" s="6"/>
      <c r="M210" s="6" t="s">
        <v>71</v>
      </c>
      <c r="N210" s="6" t="s">
        <v>345</v>
      </c>
    </row>
    <row r="211" spans="1:14" x14ac:dyDescent="0.3">
      <c r="A211" s="6" t="s">
        <v>502</v>
      </c>
      <c r="B211" s="6" t="s">
        <v>343</v>
      </c>
      <c r="C211" s="7">
        <v>52861538918</v>
      </c>
      <c r="D211" s="7"/>
      <c r="E211" s="6" t="s">
        <v>14</v>
      </c>
      <c r="F211" s="8" t="s">
        <v>15</v>
      </c>
      <c r="G211" s="9">
        <v>45857</v>
      </c>
      <c r="H211" s="9">
        <v>46222</v>
      </c>
      <c r="I211" s="6" t="s">
        <v>344</v>
      </c>
      <c r="J211" s="10"/>
      <c r="K211" s="6" t="s">
        <v>498</v>
      </c>
      <c r="L211" s="6"/>
      <c r="M211" s="6" t="s">
        <v>30</v>
      </c>
      <c r="N211" s="6"/>
    </row>
    <row r="212" spans="1:14" x14ac:dyDescent="0.3">
      <c r="A212" s="6" t="s">
        <v>502</v>
      </c>
      <c r="B212" s="6" t="s">
        <v>351</v>
      </c>
      <c r="C212" s="7">
        <v>66253380856</v>
      </c>
      <c r="D212" s="7"/>
      <c r="E212" s="6" t="s">
        <v>60</v>
      </c>
      <c r="F212" s="8">
        <v>79614903</v>
      </c>
      <c r="G212" s="9">
        <v>45857</v>
      </c>
      <c r="H212" s="9">
        <v>46222</v>
      </c>
      <c r="I212" s="6"/>
      <c r="J212" s="10">
        <v>2637.87</v>
      </c>
      <c r="K212" s="6" t="s">
        <v>495</v>
      </c>
      <c r="L212" s="6">
        <v>395.68</v>
      </c>
      <c r="M212" s="6" t="s">
        <v>38</v>
      </c>
      <c r="N212" s="6" t="s">
        <v>352</v>
      </c>
    </row>
    <row r="213" spans="1:14" x14ac:dyDescent="0.3">
      <c r="A213" s="6" t="s">
        <v>502</v>
      </c>
      <c r="B213" s="6" t="s">
        <v>36</v>
      </c>
      <c r="C213" s="7">
        <v>18164569752</v>
      </c>
      <c r="D213" s="7"/>
      <c r="E213" s="6" t="s">
        <v>14</v>
      </c>
      <c r="F213" s="8">
        <v>859354984</v>
      </c>
      <c r="G213" s="9">
        <v>45859</v>
      </c>
      <c r="H213" s="9">
        <v>46224</v>
      </c>
      <c r="I213" s="6" t="s">
        <v>355</v>
      </c>
      <c r="J213" s="10">
        <v>3412.49</v>
      </c>
      <c r="K213" s="6" t="s">
        <v>495</v>
      </c>
      <c r="L213" s="6">
        <v>304.66000000000003</v>
      </c>
      <c r="M213" s="6" t="s">
        <v>116</v>
      </c>
      <c r="N213" s="6">
        <v>31763</v>
      </c>
    </row>
    <row r="214" spans="1:14" x14ac:dyDescent="0.3">
      <c r="A214" s="6" t="s">
        <v>502</v>
      </c>
      <c r="B214" s="6" t="s">
        <v>356</v>
      </c>
      <c r="C214" s="7">
        <v>35500599556</v>
      </c>
      <c r="D214" s="7">
        <v>5346010539</v>
      </c>
      <c r="E214" s="6" t="s">
        <v>14</v>
      </c>
      <c r="F214" s="8" t="s">
        <v>15</v>
      </c>
      <c r="G214" s="9">
        <v>45860</v>
      </c>
      <c r="H214" s="9">
        <v>46225</v>
      </c>
      <c r="I214" s="6" t="s">
        <v>357</v>
      </c>
      <c r="J214" s="10"/>
      <c r="K214" s="6" t="s">
        <v>498</v>
      </c>
      <c r="L214" s="6"/>
      <c r="M214" s="6" t="s">
        <v>20</v>
      </c>
      <c r="N214" s="6">
        <v>26665</v>
      </c>
    </row>
    <row r="215" spans="1:14" x14ac:dyDescent="0.3">
      <c r="A215" s="6" t="s">
        <v>502</v>
      </c>
      <c r="B215" s="6" t="s">
        <v>309</v>
      </c>
      <c r="C215" s="7">
        <v>43720717988</v>
      </c>
      <c r="D215" s="7"/>
      <c r="E215" s="6" t="s">
        <v>14</v>
      </c>
      <c r="F215" s="8">
        <v>857989407</v>
      </c>
      <c r="G215" s="9">
        <v>45859</v>
      </c>
      <c r="H215" s="9">
        <v>46225</v>
      </c>
      <c r="I215" s="6" t="s">
        <v>310</v>
      </c>
      <c r="J215" s="10">
        <v>12745.14</v>
      </c>
      <c r="K215" s="6" t="s">
        <v>497</v>
      </c>
      <c r="L215" s="6">
        <v>1216.76</v>
      </c>
      <c r="M215" s="6" t="s">
        <v>116</v>
      </c>
      <c r="N215" s="6" t="s">
        <v>354</v>
      </c>
    </row>
    <row r="216" spans="1:14" x14ac:dyDescent="0.3">
      <c r="A216" s="6" t="s">
        <v>501</v>
      </c>
      <c r="B216" s="6" t="s">
        <v>124</v>
      </c>
      <c r="C216" s="7">
        <v>6211022844</v>
      </c>
      <c r="D216" s="7"/>
      <c r="E216" s="6" t="s">
        <v>188</v>
      </c>
      <c r="F216" s="8">
        <v>850114791</v>
      </c>
      <c r="G216" s="9">
        <v>45861</v>
      </c>
      <c r="H216" s="9">
        <v>46226</v>
      </c>
      <c r="I216" s="6"/>
      <c r="J216" s="10">
        <v>65391.97</v>
      </c>
      <c r="K216" s="6" t="s">
        <v>495</v>
      </c>
      <c r="L216" s="6">
        <v>15537.8</v>
      </c>
      <c r="M216" s="6" t="s">
        <v>116</v>
      </c>
      <c r="N216" s="6"/>
    </row>
    <row r="217" spans="1:14" x14ac:dyDescent="0.3">
      <c r="A217" s="6" t="s">
        <v>502</v>
      </c>
      <c r="B217" s="6" t="s">
        <v>358</v>
      </c>
      <c r="C217" s="7">
        <v>35788545948</v>
      </c>
      <c r="D217" s="7">
        <v>5352524703</v>
      </c>
      <c r="E217" s="6" t="s">
        <v>50</v>
      </c>
      <c r="F217" s="8">
        <v>100000396937978</v>
      </c>
      <c r="G217" s="9">
        <v>45862</v>
      </c>
      <c r="H217" s="9">
        <v>46227</v>
      </c>
      <c r="I217" s="6" t="s">
        <v>359</v>
      </c>
      <c r="J217" s="10">
        <v>14478.82</v>
      </c>
      <c r="K217" s="6" t="s">
        <v>495</v>
      </c>
      <c r="L217" s="6">
        <v>2068.4</v>
      </c>
      <c r="M217" s="6" t="s">
        <v>64</v>
      </c>
      <c r="N217" s="6" t="s">
        <v>360</v>
      </c>
    </row>
    <row r="218" spans="1:14" x14ac:dyDescent="0.3">
      <c r="A218" s="6" t="s">
        <v>502</v>
      </c>
      <c r="B218" s="6" t="s">
        <v>361</v>
      </c>
      <c r="C218" s="7">
        <v>56971561088</v>
      </c>
      <c r="D218" s="7"/>
      <c r="E218" s="6" t="s">
        <v>188</v>
      </c>
      <c r="F218" s="8">
        <v>860803320</v>
      </c>
      <c r="G218" s="9">
        <v>45865</v>
      </c>
      <c r="H218" s="9">
        <v>46230</v>
      </c>
      <c r="I218" s="6"/>
      <c r="J218" s="10">
        <v>8106.85</v>
      </c>
      <c r="K218" s="6" t="s">
        <v>498</v>
      </c>
      <c r="L218" s="6">
        <v>1924.92</v>
      </c>
      <c r="M218" s="6" t="s">
        <v>116</v>
      </c>
      <c r="N218" s="6"/>
    </row>
    <row r="219" spans="1:14" x14ac:dyDescent="0.3">
      <c r="A219" s="6" t="s">
        <v>502</v>
      </c>
      <c r="B219" s="6" t="s">
        <v>365</v>
      </c>
      <c r="C219" s="7">
        <v>36470090920</v>
      </c>
      <c r="D219" s="7"/>
      <c r="E219" s="6" t="s">
        <v>14</v>
      </c>
      <c r="F219" s="8">
        <v>301000210568375</v>
      </c>
      <c r="G219" s="9">
        <v>45867</v>
      </c>
      <c r="H219" s="9">
        <v>46232</v>
      </c>
      <c r="I219" s="6" t="s">
        <v>366</v>
      </c>
      <c r="J219" s="10">
        <v>13693.14</v>
      </c>
      <c r="K219" s="6" t="s">
        <v>498</v>
      </c>
      <c r="L219" s="6">
        <v>1239.71</v>
      </c>
      <c r="M219" s="6" t="s">
        <v>38</v>
      </c>
      <c r="N219" s="6" t="s">
        <v>367</v>
      </c>
    </row>
    <row r="220" spans="1:14" x14ac:dyDescent="0.3">
      <c r="A220" s="6" t="s">
        <v>502</v>
      </c>
      <c r="B220" s="6" t="s">
        <v>365</v>
      </c>
      <c r="C220" s="7">
        <v>36470090920</v>
      </c>
      <c r="D220" s="7"/>
      <c r="E220" s="6" t="s">
        <v>50</v>
      </c>
      <c r="F220" s="8">
        <v>159377625</v>
      </c>
      <c r="G220" s="9">
        <v>45867</v>
      </c>
      <c r="H220" s="9">
        <v>46232</v>
      </c>
      <c r="I220" s="6" t="s">
        <v>366</v>
      </c>
      <c r="J220" s="10">
        <v>11744.27</v>
      </c>
      <c r="K220" s="6" t="s">
        <v>498</v>
      </c>
      <c r="L220" s="6">
        <f>1678.12*0.6</f>
        <v>1006.8719999999998</v>
      </c>
      <c r="M220" s="6" t="s">
        <v>52</v>
      </c>
      <c r="N220" s="6" t="s">
        <v>368</v>
      </c>
    </row>
    <row r="221" spans="1:14" x14ac:dyDescent="0.3">
      <c r="A221" s="6" t="s">
        <v>502</v>
      </c>
      <c r="B221" s="6" t="s">
        <v>373</v>
      </c>
      <c r="C221" s="7">
        <v>31561730556</v>
      </c>
      <c r="D221" s="7"/>
      <c r="E221" s="6" t="s">
        <v>14</v>
      </c>
      <c r="F221" s="8" t="s">
        <v>15</v>
      </c>
      <c r="G221" s="9">
        <v>45868</v>
      </c>
      <c r="H221" s="9">
        <v>46233</v>
      </c>
      <c r="I221" s="6" t="s">
        <v>374</v>
      </c>
      <c r="J221" s="10"/>
      <c r="K221" s="6" t="s">
        <v>498</v>
      </c>
      <c r="L221" s="6"/>
      <c r="M221" s="6" t="s">
        <v>137</v>
      </c>
      <c r="N221" s="6" t="s">
        <v>375</v>
      </c>
    </row>
    <row r="222" spans="1:14" x14ac:dyDescent="0.3">
      <c r="A222" s="6" t="s">
        <v>502</v>
      </c>
      <c r="B222" s="6" t="s">
        <v>362</v>
      </c>
      <c r="C222" s="7">
        <v>30421768180</v>
      </c>
      <c r="D222" s="7">
        <v>5556112050</v>
      </c>
      <c r="E222" s="6" t="s">
        <v>14</v>
      </c>
      <c r="F222" s="8" t="s">
        <v>15</v>
      </c>
      <c r="G222" s="9">
        <v>45869</v>
      </c>
      <c r="H222" s="9">
        <v>46234</v>
      </c>
      <c r="I222" s="6" t="s">
        <v>363</v>
      </c>
      <c r="J222" s="10"/>
      <c r="K222" s="6" t="s">
        <v>497</v>
      </c>
      <c r="L222" s="6"/>
      <c r="M222" s="6"/>
      <c r="N222" s="6" t="s">
        <v>364</v>
      </c>
    </row>
    <row r="223" spans="1:14" x14ac:dyDescent="0.3">
      <c r="A223" s="6" t="s">
        <v>502</v>
      </c>
      <c r="B223" s="6" t="s">
        <v>369</v>
      </c>
      <c r="C223" s="7">
        <v>99613829580</v>
      </c>
      <c r="D223" s="7"/>
      <c r="E223" s="6" t="s">
        <v>14</v>
      </c>
      <c r="F223" s="8">
        <v>311000467272612</v>
      </c>
      <c r="G223" s="9">
        <v>45869</v>
      </c>
      <c r="H223" s="9">
        <v>46234</v>
      </c>
      <c r="I223" s="6" t="s">
        <v>370</v>
      </c>
      <c r="J223" s="10">
        <v>8213.14</v>
      </c>
      <c r="K223" s="6" t="s">
        <v>495</v>
      </c>
      <c r="L223" s="6">
        <v>804.2</v>
      </c>
      <c r="M223" s="6" t="s">
        <v>71</v>
      </c>
      <c r="N223" s="6" t="s">
        <v>371</v>
      </c>
    </row>
    <row r="224" spans="1:14" x14ac:dyDescent="0.3">
      <c r="A224" s="6" t="s">
        <v>502</v>
      </c>
      <c r="B224" s="6" t="s">
        <v>369</v>
      </c>
      <c r="C224" s="7">
        <v>99613829580</v>
      </c>
      <c r="D224" s="7"/>
      <c r="E224" s="6" t="s">
        <v>50</v>
      </c>
      <c r="F224" s="8">
        <v>307000182607414</v>
      </c>
      <c r="G224" s="9">
        <v>45869</v>
      </c>
      <c r="H224" s="9">
        <v>46234</v>
      </c>
      <c r="I224" s="6" t="s">
        <v>370</v>
      </c>
      <c r="J224" s="10">
        <v>34624.61</v>
      </c>
      <c r="K224" s="6" t="s">
        <v>495</v>
      </c>
      <c r="L224" s="6">
        <v>4849.84</v>
      </c>
      <c r="M224" s="6" t="s">
        <v>71</v>
      </c>
      <c r="N224" s="6" t="s">
        <v>372</v>
      </c>
    </row>
    <row r="225" spans="1:14" x14ac:dyDescent="0.3">
      <c r="A225" s="6" t="s">
        <v>501</v>
      </c>
      <c r="B225" s="6" t="s">
        <v>124</v>
      </c>
      <c r="C225" s="7">
        <v>6211022844</v>
      </c>
      <c r="D225" s="7"/>
      <c r="E225" s="6" t="s">
        <v>14</v>
      </c>
      <c r="F225" s="8">
        <v>863380145</v>
      </c>
      <c r="G225" s="9">
        <v>45870</v>
      </c>
      <c r="H225" s="9">
        <v>46235</v>
      </c>
      <c r="I225" s="6" t="s">
        <v>376</v>
      </c>
      <c r="J225" s="10">
        <v>60722</v>
      </c>
      <c r="K225" s="6" t="s">
        <v>495</v>
      </c>
      <c r="L225" s="6">
        <v>5421.52</v>
      </c>
      <c r="M225" s="6" t="s">
        <v>254</v>
      </c>
      <c r="N225" s="6"/>
    </row>
    <row r="226" spans="1:14" x14ac:dyDescent="0.3">
      <c r="A226" s="6" t="s">
        <v>501</v>
      </c>
      <c r="B226" s="6" t="s">
        <v>124</v>
      </c>
      <c r="C226" s="7">
        <v>6211022844</v>
      </c>
      <c r="D226" s="7"/>
      <c r="E226" s="6" t="s">
        <v>14</v>
      </c>
      <c r="F226" s="8">
        <v>863397272</v>
      </c>
      <c r="G226" s="9">
        <v>45870</v>
      </c>
      <c r="H226" s="9">
        <v>46235</v>
      </c>
      <c r="I226" s="6" t="s">
        <v>377</v>
      </c>
      <c r="J226" s="10">
        <v>60722</v>
      </c>
      <c r="K226" s="6" t="s">
        <v>495</v>
      </c>
      <c r="L226" s="6">
        <v>5421.52</v>
      </c>
      <c r="M226" s="6" t="s">
        <v>254</v>
      </c>
      <c r="N226" s="6"/>
    </row>
    <row r="227" spans="1:14" x14ac:dyDescent="0.3">
      <c r="A227" s="6" t="s">
        <v>501</v>
      </c>
      <c r="B227" s="6" t="s">
        <v>124</v>
      </c>
      <c r="C227" s="7">
        <v>6211022844</v>
      </c>
      <c r="D227" s="7"/>
      <c r="E227" s="6" t="s">
        <v>14</v>
      </c>
      <c r="F227" s="8">
        <v>863400325</v>
      </c>
      <c r="G227" s="9">
        <v>45870</v>
      </c>
      <c r="H227" s="9">
        <v>46235</v>
      </c>
      <c r="I227" s="6" t="s">
        <v>378</v>
      </c>
      <c r="J227" s="10">
        <v>60722</v>
      </c>
      <c r="K227" s="6" t="s">
        <v>495</v>
      </c>
      <c r="L227" s="6">
        <v>5421.52</v>
      </c>
      <c r="M227" s="6" t="s">
        <v>254</v>
      </c>
      <c r="N227" s="6"/>
    </row>
    <row r="228" spans="1:14" x14ac:dyDescent="0.3">
      <c r="A228" s="6" t="s">
        <v>502</v>
      </c>
      <c r="B228" s="6" t="s">
        <v>373</v>
      </c>
      <c r="C228" s="7">
        <v>31561730556</v>
      </c>
      <c r="D228" s="7"/>
      <c r="E228" s="6" t="s">
        <v>50</v>
      </c>
      <c r="F228" s="8" t="s">
        <v>15</v>
      </c>
      <c r="G228" s="9">
        <v>45870</v>
      </c>
      <c r="H228" s="9">
        <v>46235</v>
      </c>
      <c r="I228" s="6" t="s">
        <v>374</v>
      </c>
      <c r="J228" s="10"/>
      <c r="K228" s="6" t="s">
        <v>498</v>
      </c>
      <c r="L228" s="6"/>
      <c r="M228" s="6" t="s">
        <v>71</v>
      </c>
      <c r="N228" s="6"/>
    </row>
    <row r="229" spans="1:14" x14ac:dyDescent="0.3">
      <c r="A229" s="6" t="s">
        <v>502</v>
      </c>
      <c r="B229" s="6" t="s">
        <v>379</v>
      </c>
      <c r="C229" s="7">
        <v>43807715050</v>
      </c>
      <c r="D229" s="7"/>
      <c r="E229" s="6" t="s">
        <v>14</v>
      </c>
      <c r="F229" s="8">
        <v>100000405173977</v>
      </c>
      <c r="G229" s="9">
        <v>45872</v>
      </c>
      <c r="H229" s="9">
        <v>46237</v>
      </c>
      <c r="I229" s="6" t="s">
        <v>380</v>
      </c>
      <c r="J229" s="10">
        <v>15507</v>
      </c>
      <c r="K229" s="6" t="s">
        <v>497</v>
      </c>
      <c r="L229" s="6">
        <v>1412.68</v>
      </c>
      <c r="M229" s="6" t="s">
        <v>64</v>
      </c>
      <c r="N229" s="6" t="s">
        <v>381</v>
      </c>
    </row>
    <row r="230" spans="1:14" x14ac:dyDescent="0.3">
      <c r="A230" s="6" t="s">
        <v>502</v>
      </c>
      <c r="B230" s="6" t="s">
        <v>379</v>
      </c>
      <c r="C230" s="7">
        <v>43807715050</v>
      </c>
      <c r="D230" s="7"/>
      <c r="E230" s="6" t="s">
        <v>50</v>
      </c>
      <c r="F230" s="8">
        <v>307000181239018</v>
      </c>
      <c r="G230" s="9">
        <v>45872</v>
      </c>
      <c r="H230" s="9">
        <v>46237</v>
      </c>
      <c r="I230" s="6" t="s">
        <v>380</v>
      </c>
      <c r="J230" s="10">
        <v>9719.7099999999991</v>
      </c>
      <c r="K230" s="6" t="s">
        <v>497</v>
      </c>
      <c r="L230" s="6"/>
      <c r="M230" s="6" t="s">
        <v>71</v>
      </c>
      <c r="N230" s="6" t="s">
        <v>381</v>
      </c>
    </row>
    <row r="231" spans="1:14" x14ac:dyDescent="0.3">
      <c r="A231" s="6" t="s">
        <v>502</v>
      </c>
      <c r="B231" s="6" t="s">
        <v>320</v>
      </c>
      <c r="C231" s="7">
        <v>19703341952</v>
      </c>
      <c r="D231" s="7"/>
      <c r="E231" s="6" t="s">
        <v>14</v>
      </c>
      <c r="F231" s="8">
        <v>1405582378</v>
      </c>
      <c r="G231" s="9">
        <v>45873</v>
      </c>
      <c r="H231" s="9">
        <v>46238</v>
      </c>
      <c r="I231" s="6" t="s">
        <v>159</v>
      </c>
      <c r="J231" s="10">
        <v>11238.9</v>
      </c>
      <c r="K231" s="6" t="s">
        <v>498</v>
      </c>
      <c r="L231" s="6">
        <v>616.21</v>
      </c>
      <c r="M231" s="6" t="s">
        <v>45</v>
      </c>
      <c r="N231" s="6">
        <v>27414</v>
      </c>
    </row>
    <row r="232" spans="1:14" x14ac:dyDescent="0.3">
      <c r="A232" s="6" t="s">
        <v>501</v>
      </c>
      <c r="B232" s="6" t="s">
        <v>382</v>
      </c>
      <c r="C232" s="7">
        <v>3181295542</v>
      </c>
      <c r="D232" s="7"/>
      <c r="E232" s="6" t="s">
        <v>14</v>
      </c>
      <c r="F232" s="8">
        <v>311000469558357</v>
      </c>
      <c r="G232" s="9">
        <v>45876</v>
      </c>
      <c r="H232" s="9">
        <v>46241</v>
      </c>
      <c r="I232" s="6" t="s">
        <v>383</v>
      </c>
      <c r="J232" s="10">
        <v>20661</v>
      </c>
      <c r="K232" s="6" t="s">
        <v>498</v>
      </c>
      <c r="L232" s="6">
        <v>1869.73</v>
      </c>
      <c r="M232" s="6" t="s">
        <v>71</v>
      </c>
      <c r="N232" s="6"/>
    </row>
    <row r="233" spans="1:14" x14ac:dyDescent="0.3">
      <c r="A233" s="6" t="s">
        <v>501</v>
      </c>
      <c r="B233" s="6" t="s">
        <v>382</v>
      </c>
      <c r="C233" s="7">
        <v>3181295542</v>
      </c>
      <c r="D233" s="7"/>
      <c r="E233" s="6" t="s">
        <v>50</v>
      </c>
      <c r="F233" s="8">
        <v>351000089754307</v>
      </c>
      <c r="G233" s="9">
        <v>45876</v>
      </c>
      <c r="H233" s="9">
        <v>46241</v>
      </c>
      <c r="I233" s="6" t="s">
        <v>383</v>
      </c>
      <c r="J233" s="10">
        <v>24081</v>
      </c>
      <c r="K233" s="6" t="s">
        <v>498</v>
      </c>
      <c r="L233" s="6">
        <v>3688.53</v>
      </c>
      <c r="M233" s="6" t="s">
        <v>38</v>
      </c>
      <c r="N233" s="6"/>
    </row>
    <row r="234" spans="1:14" x14ac:dyDescent="0.3">
      <c r="A234" s="6" t="s">
        <v>502</v>
      </c>
      <c r="B234" s="6" t="s">
        <v>340</v>
      </c>
      <c r="C234" s="7">
        <v>34318636958</v>
      </c>
      <c r="D234" s="7"/>
      <c r="E234" s="6" t="s">
        <v>14</v>
      </c>
      <c r="F234" s="8" t="s">
        <v>15</v>
      </c>
      <c r="G234" s="9">
        <v>45880</v>
      </c>
      <c r="H234" s="9">
        <v>46245</v>
      </c>
      <c r="I234" s="6" t="s">
        <v>384</v>
      </c>
      <c r="J234" s="10"/>
      <c r="K234" s="6" t="s">
        <v>498</v>
      </c>
      <c r="L234" s="6"/>
      <c r="M234" s="6" t="s">
        <v>116</v>
      </c>
      <c r="N234" s="6"/>
    </row>
    <row r="235" spans="1:14" x14ac:dyDescent="0.3">
      <c r="A235" s="6" t="s">
        <v>501</v>
      </c>
      <c r="B235" s="6" t="s">
        <v>124</v>
      </c>
      <c r="C235" s="7">
        <v>6211022844</v>
      </c>
      <c r="D235" s="7"/>
      <c r="E235" s="6" t="s">
        <v>14</v>
      </c>
      <c r="F235" s="8">
        <v>866587743</v>
      </c>
      <c r="G235" s="9">
        <v>45881</v>
      </c>
      <c r="H235" s="9">
        <v>46246</v>
      </c>
      <c r="I235" s="6" t="s">
        <v>385</v>
      </c>
      <c r="J235" s="10">
        <v>21103.95</v>
      </c>
      <c r="K235" s="6" t="s">
        <v>495</v>
      </c>
      <c r="L235" s="6">
        <v>1884.1</v>
      </c>
      <c r="M235" s="6" t="s">
        <v>116</v>
      </c>
      <c r="N235" s="6"/>
    </row>
    <row r="236" spans="1:14" x14ac:dyDescent="0.3">
      <c r="A236" s="6" t="s">
        <v>502</v>
      </c>
      <c r="B236" s="6" t="s">
        <v>387</v>
      </c>
      <c r="C236" s="7">
        <v>52213041974</v>
      </c>
      <c r="D236" s="7" t="s">
        <v>388</v>
      </c>
      <c r="E236" s="6" t="s">
        <v>14</v>
      </c>
      <c r="F236" s="8">
        <v>1414286415</v>
      </c>
      <c r="G236" s="9">
        <v>45882</v>
      </c>
      <c r="H236" s="9">
        <v>46247</v>
      </c>
      <c r="I236" s="6" t="s">
        <v>389</v>
      </c>
      <c r="J236" s="10">
        <v>16425.650000000001</v>
      </c>
      <c r="K236" s="6" t="s">
        <v>497</v>
      </c>
      <c r="L236" s="6">
        <v>897.43</v>
      </c>
      <c r="M236" s="6" t="s">
        <v>45</v>
      </c>
      <c r="N236" s="6" t="s">
        <v>390</v>
      </c>
    </row>
    <row r="237" spans="1:14" x14ac:dyDescent="0.3">
      <c r="A237" s="6" t="s">
        <v>502</v>
      </c>
      <c r="B237" s="6" t="s">
        <v>391</v>
      </c>
      <c r="C237" s="7">
        <v>41488189306</v>
      </c>
      <c r="D237" s="7"/>
      <c r="E237" s="6" t="s">
        <v>14</v>
      </c>
      <c r="F237" s="8">
        <v>301000215625708</v>
      </c>
      <c r="G237" s="9">
        <v>45883</v>
      </c>
      <c r="H237" s="9">
        <v>46248</v>
      </c>
      <c r="I237" s="6" t="s">
        <v>392</v>
      </c>
      <c r="J237" s="10">
        <v>9537.58</v>
      </c>
      <c r="K237" s="6" t="s">
        <v>498</v>
      </c>
      <c r="L237" s="6">
        <v>867.05</v>
      </c>
      <c r="M237" s="6" t="s">
        <v>38</v>
      </c>
      <c r="N237" s="6" t="s">
        <v>393</v>
      </c>
    </row>
    <row r="238" spans="1:14" x14ac:dyDescent="0.3">
      <c r="A238" s="6" t="s">
        <v>502</v>
      </c>
      <c r="B238" s="6" t="s">
        <v>394</v>
      </c>
      <c r="C238" s="7">
        <v>26605894448</v>
      </c>
      <c r="D238" s="7"/>
      <c r="E238" s="6" t="s">
        <v>56</v>
      </c>
      <c r="F238" s="8">
        <v>6492637</v>
      </c>
      <c r="G238" s="9">
        <v>45884</v>
      </c>
      <c r="H238" s="9">
        <v>46249</v>
      </c>
      <c r="I238" s="6"/>
      <c r="J238" s="10">
        <v>80820.91</v>
      </c>
      <c r="K238" s="6" t="s">
        <v>497</v>
      </c>
      <c r="L238" s="6">
        <f>13739.55*0.6</f>
        <v>8243.73</v>
      </c>
      <c r="M238" s="6" t="s">
        <v>34</v>
      </c>
      <c r="N238" s="6"/>
    </row>
    <row r="239" spans="1:14" x14ac:dyDescent="0.3">
      <c r="A239" s="6" t="s">
        <v>502</v>
      </c>
      <c r="B239" s="6" t="s">
        <v>395</v>
      </c>
      <c r="C239" s="7">
        <v>45973985336</v>
      </c>
      <c r="D239" s="7">
        <v>1415814917</v>
      </c>
      <c r="E239" s="6" t="s">
        <v>14</v>
      </c>
      <c r="F239" s="8">
        <v>1415814917</v>
      </c>
      <c r="G239" s="9">
        <v>45885</v>
      </c>
      <c r="H239" s="9">
        <v>46250</v>
      </c>
      <c r="I239" s="6" t="s">
        <v>396</v>
      </c>
      <c r="J239" s="10">
        <v>23078.18</v>
      </c>
      <c r="K239" s="6" t="s">
        <v>498</v>
      </c>
      <c r="L239" s="6">
        <v>1260.24</v>
      </c>
      <c r="M239" s="6" t="s">
        <v>45</v>
      </c>
      <c r="N239" s="6" t="s">
        <v>397</v>
      </c>
    </row>
    <row r="240" spans="1:14" x14ac:dyDescent="0.3">
      <c r="A240" s="6" t="s">
        <v>502</v>
      </c>
      <c r="B240" s="6" t="s">
        <v>398</v>
      </c>
      <c r="C240" s="7">
        <v>21971172336</v>
      </c>
      <c r="D240" s="7"/>
      <c r="E240" s="6" t="s">
        <v>60</v>
      </c>
      <c r="F240" s="8">
        <v>84927713</v>
      </c>
      <c r="G240" s="9">
        <v>45889</v>
      </c>
      <c r="H240" s="9">
        <v>46254</v>
      </c>
      <c r="I240" s="6"/>
      <c r="J240" s="10">
        <v>1543.1</v>
      </c>
      <c r="K240" s="6" t="s">
        <v>498</v>
      </c>
      <c r="L240" s="6">
        <v>270.04000000000002</v>
      </c>
      <c r="M240" s="6" t="s">
        <v>38</v>
      </c>
      <c r="N240" s="6" t="s">
        <v>399</v>
      </c>
    </row>
    <row r="241" spans="1:14" x14ac:dyDescent="0.3">
      <c r="A241" s="6" t="s">
        <v>502</v>
      </c>
      <c r="B241" s="6" t="s">
        <v>323</v>
      </c>
      <c r="C241" s="7">
        <v>24413357100</v>
      </c>
      <c r="D241" s="7"/>
      <c r="E241" s="6" t="s">
        <v>14</v>
      </c>
      <c r="F241" s="8">
        <v>100000421609611</v>
      </c>
      <c r="G241" s="9">
        <v>45902</v>
      </c>
      <c r="H241" s="9">
        <v>46267</v>
      </c>
      <c r="I241" s="6" t="s">
        <v>400</v>
      </c>
      <c r="J241" s="10">
        <v>19871.32</v>
      </c>
      <c r="K241" s="6" t="s">
        <v>498</v>
      </c>
      <c r="L241" s="6">
        <v>1811.27</v>
      </c>
      <c r="M241" s="6" t="s">
        <v>64</v>
      </c>
      <c r="N241" s="6"/>
    </row>
    <row r="242" spans="1:14" x14ac:dyDescent="0.3">
      <c r="A242" s="6" t="s">
        <v>502</v>
      </c>
      <c r="B242" s="6" t="s">
        <v>323</v>
      </c>
      <c r="C242" s="7">
        <v>24413357100</v>
      </c>
      <c r="D242" s="7"/>
      <c r="E242" s="6" t="s">
        <v>50</v>
      </c>
      <c r="F242" s="8">
        <v>872154121</v>
      </c>
      <c r="G242" s="9">
        <v>45903</v>
      </c>
      <c r="H242" s="9">
        <v>46268</v>
      </c>
      <c r="I242" s="6" t="s">
        <v>400</v>
      </c>
      <c r="J242" s="10">
        <v>43731.21</v>
      </c>
      <c r="K242" s="6" t="s">
        <v>498</v>
      </c>
      <c r="L242" s="6">
        <v>6251.2</v>
      </c>
      <c r="M242" s="6" t="s">
        <v>254</v>
      </c>
      <c r="N242" s="6"/>
    </row>
    <row r="243" spans="1:14" x14ac:dyDescent="0.3">
      <c r="A243" s="6" t="s">
        <v>502</v>
      </c>
      <c r="B243" s="6" t="s">
        <v>190</v>
      </c>
      <c r="C243" s="7">
        <v>46834465134</v>
      </c>
      <c r="D243" s="7">
        <v>5363823683</v>
      </c>
      <c r="E243" s="6" t="s">
        <v>50</v>
      </c>
      <c r="F243" s="8">
        <v>871481824</v>
      </c>
      <c r="G243" s="9">
        <v>45904</v>
      </c>
      <c r="H243" s="9">
        <v>46269</v>
      </c>
      <c r="I243" s="6" t="s">
        <v>401</v>
      </c>
      <c r="J243" s="10">
        <v>10870.9</v>
      </c>
      <c r="K243" s="6" t="s">
        <v>498</v>
      </c>
      <c r="L243" s="6">
        <v>1556.63</v>
      </c>
      <c r="M243" s="6" t="s">
        <v>116</v>
      </c>
      <c r="N243" s="6"/>
    </row>
    <row r="244" spans="1:14" x14ac:dyDescent="0.3">
      <c r="A244" s="6" t="s">
        <v>502</v>
      </c>
      <c r="B244" s="6" t="s">
        <v>190</v>
      </c>
      <c r="C244" s="7">
        <v>46834465134</v>
      </c>
      <c r="D244" s="7">
        <v>5363823683</v>
      </c>
      <c r="E244" s="6" t="s">
        <v>14</v>
      </c>
      <c r="F244" s="8">
        <v>311000480604637</v>
      </c>
      <c r="G244" s="9">
        <v>45905</v>
      </c>
      <c r="H244" s="9">
        <v>46270</v>
      </c>
      <c r="I244" s="6" t="s">
        <v>401</v>
      </c>
      <c r="J244" s="10">
        <v>7806.41</v>
      </c>
      <c r="K244" s="6" t="s">
        <v>498</v>
      </c>
      <c r="L244" s="6">
        <v>697</v>
      </c>
      <c r="M244" s="6" t="s">
        <v>71</v>
      </c>
      <c r="N244" s="6"/>
    </row>
    <row r="245" spans="1:14" x14ac:dyDescent="0.3">
      <c r="A245" s="6" t="s">
        <v>502</v>
      </c>
      <c r="B245" s="6" t="s">
        <v>403</v>
      </c>
      <c r="C245" s="7">
        <v>12268663026</v>
      </c>
      <c r="D245" s="7"/>
      <c r="E245" s="6" t="s">
        <v>14</v>
      </c>
      <c r="F245" s="8" t="s">
        <v>15</v>
      </c>
      <c r="G245" s="9">
        <v>45907</v>
      </c>
      <c r="H245" s="9">
        <v>46272</v>
      </c>
      <c r="I245" s="6" t="s">
        <v>404</v>
      </c>
      <c r="J245" s="10"/>
      <c r="K245" s="6" t="s">
        <v>497</v>
      </c>
      <c r="L245" s="6"/>
      <c r="M245" s="6" t="s">
        <v>52</v>
      </c>
      <c r="N245" s="6"/>
    </row>
    <row r="246" spans="1:14" x14ac:dyDescent="0.3">
      <c r="A246" s="6" t="s">
        <v>502</v>
      </c>
      <c r="B246" s="6" t="s">
        <v>181</v>
      </c>
      <c r="C246" s="7">
        <v>26105394998</v>
      </c>
      <c r="D246" s="7"/>
      <c r="E246" s="6" t="s">
        <v>14</v>
      </c>
      <c r="F246" s="8" t="s">
        <v>15</v>
      </c>
      <c r="G246" s="9">
        <v>45908</v>
      </c>
      <c r="H246" s="9">
        <v>46273</v>
      </c>
      <c r="I246" s="6" t="s">
        <v>408</v>
      </c>
      <c r="J246" s="10"/>
      <c r="K246" s="6" t="s">
        <v>498</v>
      </c>
      <c r="L246" s="6"/>
      <c r="M246" s="6" t="s">
        <v>30</v>
      </c>
      <c r="N246" s="6"/>
    </row>
    <row r="247" spans="1:14" x14ac:dyDescent="0.3">
      <c r="A247" s="6" t="s">
        <v>501</v>
      </c>
      <c r="B247" s="6" t="s">
        <v>99</v>
      </c>
      <c r="C247" s="7">
        <v>4811196831</v>
      </c>
      <c r="D247" s="7"/>
      <c r="E247" s="6" t="s">
        <v>422</v>
      </c>
      <c r="F247" s="8">
        <v>122099158</v>
      </c>
      <c r="G247" s="9">
        <v>45911</v>
      </c>
      <c r="H247" s="9">
        <v>46276</v>
      </c>
      <c r="I247" s="6"/>
      <c r="J247" s="10">
        <v>65478</v>
      </c>
      <c r="K247" s="6" t="s">
        <v>495</v>
      </c>
      <c r="L247" s="6">
        <v>9354</v>
      </c>
      <c r="M247" s="6" t="s">
        <v>17</v>
      </c>
      <c r="N247" s="6"/>
    </row>
    <row r="248" spans="1:14" x14ac:dyDescent="0.3">
      <c r="A248" s="6" t="s">
        <v>501</v>
      </c>
      <c r="B248" s="6" t="s">
        <v>99</v>
      </c>
      <c r="C248" s="7">
        <v>4811196831</v>
      </c>
      <c r="D248" s="7"/>
      <c r="E248" s="6" t="s">
        <v>423</v>
      </c>
      <c r="F248" s="8">
        <v>122107621</v>
      </c>
      <c r="G248" s="9">
        <v>45911</v>
      </c>
      <c r="H248" s="9">
        <v>46276</v>
      </c>
      <c r="I248" s="6"/>
      <c r="J248" s="10">
        <v>7710</v>
      </c>
      <c r="K248" s="6" t="s">
        <v>495</v>
      </c>
      <c r="L248" s="6">
        <v>734.29</v>
      </c>
      <c r="M248" s="6" t="s">
        <v>17</v>
      </c>
      <c r="N248" s="6"/>
    </row>
    <row r="249" spans="1:14" x14ac:dyDescent="0.3">
      <c r="A249" s="6" t="s">
        <v>501</v>
      </c>
      <c r="B249" s="6" t="s">
        <v>124</v>
      </c>
      <c r="C249" s="7">
        <v>6211022844</v>
      </c>
      <c r="D249" s="7"/>
      <c r="E249" s="6" t="s">
        <v>14</v>
      </c>
      <c r="F249" s="8">
        <v>874750187</v>
      </c>
      <c r="G249" s="9">
        <v>45911</v>
      </c>
      <c r="H249" s="9">
        <v>46276</v>
      </c>
      <c r="I249" s="6" t="s">
        <v>402</v>
      </c>
      <c r="J249" s="10">
        <v>21407.99</v>
      </c>
      <c r="K249" s="6" t="s">
        <v>496</v>
      </c>
      <c r="L249" s="6">
        <v>1911.24</v>
      </c>
      <c r="M249" s="6" t="s">
        <v>116</v>
      </c>
      <c r="N249" s="6"/>
    </row>
    <row r="250" spans="1:14" x14ac:dyDescent="0.3">
      <c r="A250" s="6" t="s">
        <v>501</v>
      </c>
      <c r="B250" s="6" t="s">
        <v>405</v>
      </c>
      <c r="C250" s="7">
        <v>8510713515</v>
      </c>
      <c r="D250" s="7"/>
      <c r="E250" s="6" t="s">
        <v>14</v>
      </c>
      <c r="F250" s="8" t="s">
        <v>15</v>
      </c>
      <c r="G250" s="9">
        <v>45916</v>
      </c>
      <c r="H250" s="9">
        <v>46281</v>
      </c>
      <c r="I250" s="6" t="s">
        <v>70</v>
      </c>
      <c r="J250" s="10"/>
      <c r="K250" s="6" t="s">
        <v>498</v>
      </c>
      <c r="L250" s="6"/>
      <c r="M250" s="6" t="s">
        <v>406</v>
      </c>
      <c r="N250" s="6" t="s">
        <v>407</v>
      </c>
    </row>
    <row r="251" spans="1:14" x14ac:dyDescent="0.3">
      <c r="A251" s="6" t="s">
        <v>502</v>
      </c>
      <c r="B251" s="6" t="s">
        <v>410</v>
      </c>
      <c r="C251" s="7">
        <v>45448140550</v>
      </c>
      <c r="D251" s="7">
        <v>5551095269</v>
      </c>
      <c r="E251" s="6" t="s">
        <v>50</v>
      </c>
      <c r="F251" s="8" t="s">
        <v>15</v>
      </c>
      <c r="G251" s="9">
        <v>45916</v>
      </c>
      <c r="H251" s="9">
        <v>46281</v>
      </c>
      <c r="I251" s="6" t="s">
        <v>411</v>
      </c>
      <c r="J251" s="10"/>
      <c r="K251" s="6" t="s">
        <v>498</v>
      </c>
      <c r="L251" s="6"/>
      <c r="M251" s="6" t="s">
        <v>17</v>
      </c>
      <c r="N251" s="6" t="s">
        <v>412</v>
      </c>
    </row>
    <row r="252" spans="1:14" x14ac:dyDescent="0.3">
      <c r="A252" s="6" t="s">
        <v>502</v>
      </c>
      <c r="B252" s="6" t="s">
        <v>410</v>
      </c>
      <c r="C252" s="7">
        <v>45448140550</v>
      </c>
      <c r="D252" s="7">
        <v>5551095269</v>
      </c>
      <c r="E252" s="6" t="s">
        <v>50</v>
      </c>
      <c r="F252" s="8">
        <v>876403368</v>
      </c>
      <c r="G252" s="9">
        <v>45918</v>
      </c>
      <c r="H252" s="9">
        <v>46283</v>
      </c>
      <c r="I252" s="6" t="s">
        <v>411</v>
      </c>
      <c r="J252" s="10">
        <v>16457.66</v>
      </c>
      <c r="K252" s="6" t="s">
        <v>498</v>
      </c>
      <c r="L252" s="6">
        <v>2346</v>
      </c>
      <c r="M252" s="6" t="s">
        <v>116</v>
      </c>
      <c r="N252" s="6" t="s">
        <v>412</v>
      </c>
    </row>
    <row r="253" spans="1:14" x14ac:dyDescent="0.3">
      <c r="A253" s="6" t="s">
        <v>501</v>
      </c>
      <c r="B253" s="6" t="s">
        <v>124</v>
      </c>
      <c r="C253" s="7">
        <v>6211022844</v>
      </c>
      <c r="D253" s="7"/>
      <c r="E253" s="6" t="s">
        <v>14</v>
      </c>
      <c r="F253" s="8">
        <v>786406963</v>
      </c>
      <c r="G253" s="9">
        <v>45925</v>
      </c>
      <c r="H253" s="9">
        <v>46290</v>
      </c>
      <c r="I253" s="6" t="s">
        <v>416</v>
      </c>
      <c r="J253" s="10">
        <v>32296</v>
      </c>
      <c r="K253" s="6" t="s">
        <v>495</v>
      </c>
      <c r="L253" s="6">
        <v>2883.29</v>
      </c>
      <c r="M253" s="6" t="s">
        <v>254</v>
      </c>
      <c r="N253" s="6"/>
    </row>
    <row r="254" spans="1:14" x14ac:dyDescent="0.3">
      <c r="A254" s="6" t="s">
        <v>502</v>
      </c>
      <c r="B254" s="6" t="s">
        <v>419</v>
      </c>
      <c r="C254" s="7">
        <v>13664716026</v>
      </c>
      <c r="D254" s="7"/>
      <c r="E254" s="6" t="s">
        <v>14</v>
      </c>
      <c r="F254" s="8">
        <v>441627271</v>
      </c>
      <c r="G254" s="9">
        <v>45925</v>
      </c>
      <c r="H254" s="9">
        <v>46290</v>
      </c>
      <c r="I254" s="6" t="s">
        <v>420</v>
      </c>
      <c r="J254" s="10">
        <v>6823.14</v>
      </c>
      <c r="K254" s="6" t="s">
        <v>497</v>
      </c>
      <c r="L254" s="6">
        <v>367.97</v>
      </c>
      <c r="M254" s="6" t="s">
        <v>74</v>
      </c>
      <c r="N254" s="6">
        <v>30778</v>
      </c>
    </row>
    <row r="255" spans="1:14" x14ac:dyDescent="0.3">
      <c r="A255" s="6" t="s">
        <v>502</v>
      </c>
      <c r="B255" s="6" t="s">
        <v>321</v>
      </c>
      <c r="C255" s="7">
        <v>24347359300</v>
      </c>
      <c r="D255" s="7"/>
      <c r="E255" s="6" t="s">
        <v>413</v>
      </c>
      <c r="F255" s="8">
        <v>311000488958363</v>
      </c>
      <c r="G255" s="9">
        <v>45926</v>
      </c>
      <c r="H255" s="9">
        <v>46291</v>
      </c>
      <c r="I255" s="6" t="s">
        <v>414</v>
      </c>
      <c r="J255" s="10">
        <v>5631.6</v>
      </c>
      <c r="K255" s="6" t="s">
        <v>498</v>
      </c>
      <c r="L255" s="6">
        <v>743.63</v>
      </c>
      <c r="M255" s="6" t="s">
        <v>71</v>
      </c>
      <c r="N255" s="6"/>
    </row>
    <row r="256" spans="1:14" x14ac:dyDescent="0.3">
      <c r="A256" s="6" t="s">
        <v>502</v>
      </c>
      <c r="B256" s="6" t="s">
        <v>361</v>
      </c>
      <c r="C256" s="7">
        <v>56971561088</v>
      </c>
      <c r="D256" s="7"/>
      <c r="E256" s="6" t="s">
        <v>132</v>
      </c>
      <c r="F256" s="8">
        <v>56172345</v>
      </c>
      <c r="G256" s="9">
        <v>45926</v>
      </c>
      <c r="H256" s="9">
        <v>46291</v>
      </c>
      <c r="I256" s="6"/>
      <c r="J256" s="10">
        <v>2056.3200000000002</v>
      </c>
      <c r="K256" s="6" t="s">
        <v>498</v>
      </c>
      <c r="L256" s="6">
        <v>411.26</v>
      </c>
      <c r="M256" s="6" t="s">
        <v>38</v>
      </c>
      <c r="N256" s="6" t="s">
        <v>417</v>
      </c>
    </row>
    <row r="257" spans="1:14" x14ac:dyDescent="0.3">
      <c r="A257" s="6" t="s">
        <v>502</v>
      </c>
      <c r="B257" s="6" t="s">
        <v>110</v>
      </c>
      <c r="C257" s="7">
        <v>62323222248</v>
      </c>
      <c r="D257" s="7">
        <v>5334482661</v>
      </c>
      <c r="E257" s="6" t="s">
        <v>14</v>
      </c>
      <c r="F257" s="8">
        <v>442496042</v>
      </c>
      <c r="G257" s="9">
        <v>45926</v>
      </c>
      <c r="H257" s="9">
        <v>46291</v>
      </c>
      <c r="I257" s="6" t="s">
        <v>418</v>
      </c>
      <c r="J257" s="10">
        <v>9010.59</v>
      </c>
      <c r="K257" s="6" t="s">
        <v>498</v>
      </c>
      <c r="L257" s="6">
        <v>485.93</v>
      </c>
      <c r="M257" s="6" t="s">
        <v>74</v>
      </c>
      <c r="N257" s="6"/>
    </row>
    <row r="258" spans="1:14" x14ac:dyDescent="0.3">
      <c r="A258" s="6" t="s">
        <v>502</v>
      </c>
      <c r="B258" s="6" t="s">
        <v>321</v>
      </c>
      <c r="C258" s="7">
        <v>24347359300</v>
      </c>
      <c r="D258" s="7"/>
      <c r="E258" s="6" t="s">
        <v>50</v>
      </c>
      <c r="F258" s="8">
        <v>764625159</v>
      </c>
      <c r="G258" s="9">
        <v>45927</v>
      </c>
      <c r="H258" s="9">
        <v>46292</v>
      </c>
      <c r="I258" s="6" t="s">
        <v>414</v>
      </c>
      <c r="J258" s="10">
        <v>11737.22</v>
      </c>
      <c r="K258" s="6" t="s">
        <v>498</v>
      </c>
      <c r="L258" s="6">
        <v>1680.19</v>
      </c>
      <c r="M258" s="6" t="s">
        <v>415</v>
      </c>
      <c r="N258" s="6"/>
    </row>
    <row r="259" spans="1:14" x14ac:dyDescent="0.3">
      <c r="A259" s="6" t="s">
        <v>502</v>
      </c>
      <c r="B259" s="6" t="s">
        <v>320</v>
      </c>
      <c r="C259" s="7">
        <v>19703341952</v>
      </c>
      <c r="D259" s="7"/>
      <c r="E259" s="6" t="s">
        <v>14</v>
      </c>
      <c r="F259" s="8">
        <v>1435269500</v>
      </c>
      <c r="G259" s="9">
        <v>45926</v>
      </c>
      <c r="H259" s="9">
        <v>46293</v>
      </c>
      <c r="I259" s="6" t="s">
        <v>421</v>
      </c>
      <c r="J259" s="10">
        <v>10633.76</v>
      </c>
      <c r="K259" s="6" t="s">
        <v>498</v>
      </c>
      <c r="L259" s="6">
        <f>968.88*0.65</f>
        <v>629.77200000000005</v>
      </c>
      <c r="M259" s="6" t="s">
        <v>45</v>
      </c>
      <c r="N259" s="6"/>
    </row>
    <row r="260" spans="1:14" x14ac:dyDescent="0.3">
      <c r="A260" s="6" t="s">
        <v>502</v>
      </c>
      <c r="B260" s="6" t="s">
        <v>156</v>
      </c>
      <c r="C260" s="7">
        <v>21040245558</v>
      </c>
      <c r="D260" s="7">
        <v>5325410396</v>
      </c>
      <c r="E260" s="6" t="s">
        <v>60</v>
      </c>
      <c r="F260" s="8">
        <v>80623363</v>
      </c>
      <c r="G260" s="9">
        <v>45931</v>
      </c>
      <c r="H260" s="9">
        <v>46296</v>
      </c>
      <c r="I260" s="6"/>
      <c r="J260" s="10">
        <v>3034.64</v>
      </c>
      <c r="K260" s="6" t="s">
        <v>497</v>
      </c>
      <c r="L260" s="6">
        <v>606.92999999999995</v>
      </c>
      <c r="M260" s="6" t="s">
        <v>38</v>
      </c>
      <c r="N260" s="6" t="s">
        <v>424</v>
      </c>
    </row>
    <row r="261" spans="1:14" x14ac:dyDescent="0.3">
      <c r="A261" s="6" t="s">
        <v>502</v>
      </c>
      <c r="B261" s="6" t="s">
        <v>433</v>
      </c>
      <c r="C261" s="7">
        <v>45616134954</v>
      </c>
      <c r="D261" s="7"/>
      <c r="E261" s="6" t="s">
        <v>50</v>
      </c>
      <c r="F261" s="8" t="s">
        <v>15</v>
      </c>
      <c r="G261" s="9">
        <v>45937</v>
      </c>
      <c r="H261" s="9">
        <v>46302</v>
      </c>
      <c r="I261" s="6" t="s">
        <v>434</v>
      </c>
      <c r="J261" s="10"/>
      <c r="K261" s="6" t="s">
        <v>498</v>
      </c>
      <c r="L261" s="6"/>
      <c r="M261" s="6"/>
      <c r="N261" s="6" t="s">
        <v>435</v>
      </c>
    </row>
    <row r="262" spans="1:14" x14ac:dyDescent="0.3">
      <c r="A262" s="6" t="s">
        <v>502</v>
      </c>
      <c r="B262" s="6" t="s">
        <v>39</v>
      </c>
      <c r="C262" s="7">
        <v>12353370532</v>
      </c>
      <c r="D262" s="7"/>
      <c r="E262" s="6" t="s">
        <v>14</v>
      </c>
      <c r="F262" s="8" t="s">
        <v>15</v>
      </c>
      <c r="G262" s="9">
        <v>45938</v>
      </c>
      <c r="H262" s="9">
        <v>46303</v>
      </c>
      <c r="I262" s="6" t="s">
        <v>40</v>
      </c>
      <c r="J262" s="10"/>
      <c r="K262" s="6" t="s">
        <v>497</v>
      </c>
      <c r="L262" s="6"/>
      <c r="M262" s="6" t="s">
        <v>17</v>
      </c>
      <c r="N262" s="6">
        <v>28131</v>
      </c>
    </row>
    <row r="263" spans="1:14" x14ac:dyDescent="0.3">
      <c r="A263" s="6" t="s">
        <v>502</v>
      </c>
      <c r="B263" s="6" t="s">
        <v>431</v>
      </c>
      <c r="C263" s="7">
        <v>21527606278</v>
      </c>
      <c r="D263" s="7">
        <v>5326032962</v>
      </c>
      <c r="E263" s="6" t="s">
        <v>56</v>
      </c>
      <c r="F263" s="8">
        <v>602000006625134</v>
      </c>
      <c r="G263" s="9">
        <v>45939</v>
      </c>
      <c r="H263" s="9">
        <v>46304</v>
      </c>
      <c r="I263" s="6"/>
      <c r="J263" s="10">
        <v>17807.009999999998</v>
      </c>
      <c r="K263" s="6" t="s">
        <v>497</v>
      </c>
      <c r="L263" s="6">
        <v>3561.4</v>
      </c>
      <c r="M263" s="6" t="s">
        <v>38</v>
      </c>
      <c r="N263" s="6" t="s">
        <v>432</v>
      </c>
    </row>
    <row r="264" spans="1:14" x14ac:dyDescent="0.3">
      <c r="A264" s="6" t="s">
        <v>502</v>
      </c>
      <c r="B264" s="6" t="s">
        <v>251</v>
      </c>
      <c r="C264" s="7">
        <v>51058081626</v>
      </c>
      <c r="D264" s="7">
        <v>5325525060</v>
      </c>
      <c r="E264" s="6" t="s">
        <v>14</v>
      </c>
      <c r="F264" s="8">
        <v>881377500</v>
      </c>
      <c r="G264" s="9">
        <v>45939</v>
      </c>
      <c r="H264" s="9">
        <v>46304</v>
      </c>
      <c r="I264" s="6" t="s">
        <v>426</v>
      </c>
      <c r="J264" s="10">
        <v>9100.19</v>
      </c>
      <c r="K264" s="6" t="s">
        <v>498</v>
      </c>
      <c r="L264" s="6">
        <v>826.11</v>
      </c>
      <c r="M264" s="6" t="s">
        <v>116</v>
      </c>
      <c r="N264" s="6"/>
    </row>
    <row r="265" spans="1:14" x14ac:dyDescent="0.3">
      <c r="A265" s="6" t="s">
        <v>502</v>
      </c>
      <c r="B265" s="6" t="s">
        <v>428</v>
      </c>
      <c r="C265" s="7">
        <v>51490457218</v>
      </c>
      <c r="D265" s="7"/>
      <c r="E265" s="6" t="s">
        <v>14</v>
      </c>
      <c r="F265" s="8" t="s">
        <v>15</v>
      </c>
      <c r="G265" s="9">
        <v>45939</v>
      </c>
      <c r="H265" s="9">
        <v>46304</v>
      </c>
      <c r="I265" s="6" t="s">
        <v>429</v>
      </c>
      <c r="J265" s="10"/>
      <c r="K265" s="6" t="s">
        <v>498</v>
      </c>
      <c r="L265" s="6"/>
      <c r="M265" s="6" t="s">
        <v>244</v>
      </c>
      <c r="N265" s="6" t="s">
        <v>430</v>
      </c>
    </row>
    <row r="266" spans="1:14" x14ac:dyDescent="0.3">
      <c r="A266" s="6" t="s">
        <v>502</v>
      </c>
      <c r="B266" s="6" t="s">
        <v>436</v>
      </c>
      <c r="C266" s="7">
        <v>11111111111</v>
      </c>
      <c r="D266" s="7"/>
      <c r="E266" s="6" t="s">
        <v>112</v>
      </c>
      <c r="F266" s="8">
        <v>1099594</v>
      </c>
      <c r="G266" s="9">
        <v>45941</v>
      </c>
      <c r="H266" s="9">
        <v>46306</v>
      </c>
      <c r="I266" s="6"/>
      <c r="J266" s="10">
        <v>90863</v>
      </c>
      <c r="K266" s="6" t="s">
        <v>495</v>
      </c>
      <c r="L266" s="6"/>
      <c r="M266" s="6" t="s">
        <v>437</v>
      </c>
      <c r="N266" s="6"/>
    </row>
    <row r="267" spans="1:14" x14ac:dyDescent="0.3">
      <c r="A267" s="6" t="s">
        <v>502</v>
      </c>
      <c r="B267" s="6" t="s">
        <v>428</v>
      </c>
      <c r="C267" s="7">
        <v>51490457218</v>
      </c>
      <c r="D267" s="7"/>
      <c r="E267" s="6" t="s">
        <v>50</v>
      </c>
      <c r="F267" s="8" t="s">
        <v>15</v>
      </c>
      <c r="G267" s="9">
        <v>45941</v>
      </c>
      <c r="H267" s="9">
        <v>46306</v>
      </c>
      <c r="I267" s="6" t="s">
        <v>429</v>
      </c>
      <c r="J267" s="10"/>
      <c r="K267" s="6" t="s">
        <v>498</v>
      </c>
      <c r="L267" s="6"/>
      <c r="M267" s="6" t="s">
        <v>244</v>
      </c>
      <c r="N267" s="6"/>
    </row>
    <row r="268" spans="1:14" x14ac:dyDescent="0.3">
      <c r="A268" s="6" t="s">
        <v>502</v>
      </c>
      <c r="B268" s="6" t="s">
        <v>441</v>
      </c>
      <c r="C268" s="7">
        <v>20183118880</v>
      </c>
      <c r="D268" s="7"/>
      <c r="E268" s="6" t="s">
        <v>14</v>
      </c>
      <c r="F268" s="8" t="s">
        <v>15</v>
      </c>
      <c r="G268" s="9">
        <v>45940</v>
      </c>
      <c r="H268" s="9">
        <v>46307</v>
      </c>
      <c r="I268" s="6" t="s">
        <v>442</v>
      </c>
      <c r="J268" s="10"/>
      <c r="K268" s="6" t="s">
        <v>497</v>
      </c>
      <c r="L268" s="6"/>
      <c r="M268" s="6" t="s">
        <v>34</v>
      </c>
      <c r="N268" s="6" t="s">
        <v>443</v>
      </c>
    </row>
    <row r="269" spans="1:14" x14ac:dyDescent="0.3">
      <c r="A269" s="6" t="s">
        <v>502</v>
      </c>
      <c r="B269" s="6" t="s">
        <v>438</v>
      </c>
      <c r="C269" s="7">
        <v>15667999710</v>
      </c>
      <c r="D269" s="7"/>
      <c r="E269" s="6" t="s">
        <v>14</v>
      </c>
      <c r="F269" s="8">
        <v>2000238193501</v>
      </c>
      <c r="G269" s="9">
        <v>45946</v>
      </c>
      <c r="H269" s="9">
        <v>46311</v>
      </c>
      <c r="I269" s="6" t="s">
        <v>439</v>
      </c>
      <c r="J269" s="10">
        <v>11789</v>
      </c>
      <c r="K269" s="6" t="s">
        <v>498</v>
      </c>
      <c r="L269" s="6">
        <f>1052.6*0.6</f>
        <v>631.55999999999995</v>
      </c>
      <c r="M269" s="6" t="s">
        <v>137</v>
      </c>
      <c r="N269" s="6" t="s">
        <v>440</v>
      </c>
    </row>
    <row r="270" spans="1:14" x14ac:dyDescent="0.3">
      <c r="A270" s="6" t="s">
        <v>502</v>
      </c>
      <c r="B270" s="6" t="s">
        <v>438</v>
      </c>
      <c r="C270" s="7">
        <v>15667999710</v>
      </c>
      <c r="D270" s="7"/>
      <c r="E270" s="6" t="s">
        <v>50</v>
      </c>
      <c r="F270" s="8" t="s">
        <v>15</v>
      </c>
      <c r="G270" s="9">
        <v>45946</v>
      </c>
      <c r="H270" s="9">
        <v>46311</v>
      </c>
      <c r="I270" s="6" t="s">
        <v>439</v>
      </c>
      <c r="J270" s="10"/>
      <c r="K270" s="6" t="s">
        <v>498</v>
      </c>
      <c r="L270" s="6"/>
      <c r="M270" s="6" t="s">
        <v>64</v>
      </c>
      <c r="N270" s="6"/>
    </row>
    <row r="271" spans="1:14" x14ac:dyDescent="0.3">
      <c r="A271" s="6" t="s">
        <v>502</v>
      </c>
      <c r="B271" s="6" t="s">
        <v>425</v>
      </c>
      <c r="C271" s="7">
        <v>69805191504</v>
      </c>
      <c r="D271" s="7">
        <v>5530987706</v>
      </c>
      <c r="E271" s="6" t="s">
        <v>14</v>
      </c>
      <c r="F271" s="8" t="s">
        <v>15</v>
      </c>
      <c r="G271" s="9">
        <v>45948</v>
      </c>
      <c r="H271" s="9">
        <v>46313</v>
      </c>
      <c r="I271" s="6" t="s">
        <v>105</v>
      </c>
      <c r="J271" s="10"/>
      <c r="K271" s="6" t="s">
        <v>498</v>
      </c>
      <c r="L271" s="6"/>
      <c r="M271" s="6" t="s">
        <v>38</v>
      </c>
      <c r="N271" s="6">
        <v>29530</v>
      </c>
    </row>
    <row r="272" spans="1:14" x14ac:dyDescent="0.3">
      <c r="A272" s="6" t="s">
        <v>502</v>
      </c>
      <c r="B272" s="6" t="s">
        <v>181</v>
      </c>
      <c r="C272" s="7">
        <v>26105394998</v>
      </c>
      <c r="D272" s="7"/>
      <c r="E272" s="6" t="s">
        <v>50</v>
      </c>
      <c r="F272" s="8" t="s">
        <v>15</v>
      </c>
      <c r="G272" s="9">
        <v>45951</v>
      </c>
      <c r="H272" s="9">
        <v>46316</v>
      </c>
      <c r="I272" s="6" t="s">
        <v>182</v>
      </c>
      <c r="J272" s="10"/>
      <c r="K272" s="6" t="s">
        <v>498</v>
      </c>
      <c r="L272" s="6"/>
      <c r="M272" s="6" t="s">
        <v>30</v>
      </c>
      <c r="N272" s="6"/>
    </row>
    <row r="273" spans="1:14" x14ac:dyDescent="0.3">
      <c r="A273" s="6" t="s">
        <v>502</v>
      </c>
      <c r="B273" s="6" t="s">
        <v>104</v>
      </c>
      <c r="C273" s="7">
        <v>69805191504</v>
      </c>
      <c r="D273" s="7">
        <v>5530987706</v>
      </c>
      <c r="E273" s="6" t="s">
        <v>60</v>
      </c>
      <c r="F273" s="8">
        <v>56504187</v>
      </c>
      <c r="G273" s="9">
        <v>45952</v>
      </c>
      <c r="H273" s="9">
        <v>46317</v>
      </c>
      <c r="I273" s="6"/>
      <c r="J273" s="10">
        <v>2312.11</v>
      </c>
      <c r="K273" s="6" t="s">
        <v>498</v>
      </c>
      <c r="L273" s="6">
        <v>462.42</v>
      </c>
      <c r="M273" s="6" t="s">
        <v>116</v>
      </c>
      <c r="N273" s="6"/>
    </row>
    <row r="274" spans="1:14" x14ac:dyDescent="0.3">
      <c r="A274" s="6" t="s">
        <v>501</v>
      </c>
      <c r="B274" s="6" t="s">
        <v>124</v>
      </c>
      <c r="C274" s="7">
        <v>6211022844</v>
      </c>
      <c r="D274" s="7"/>
      <c r="E274" s="6" t="s">
        <v>14</v>
      </c>
      <c r="F274" s="8">
        <v>122387463</v>
      </c>
      <c r="G274" s="9">
        <v>45953</v>
      </c>
      <c r="H274" s="9">
        <v>46318</v>
      </c>
      <c r="I274" s="6" t="s">
        <v>445</v>
      </c>
      <c r="J274" s="10">
        <v>15719</v>
      </c>
      <c r="K274" s="6" t="s">
        <v>495</v>
      </c>
      <c r="L274" s="6">
        <v>1403.34</v>
      </c>
      <c r="M274" s="6" t="s">
        <v>254</v>
      </c>
      <c r="N274" s="6"/>
    </row>
    <row r="275" spans="1:14" x14ac:dyDescent="0.3">
      <c r="A275" s="6" t="s">
        <v>501</v>
      </c>
      <c r="B275" s="6" t="s">
        <v>124</v>
      </c>
      <c r="C275" s="7">
        <v>6211022844</v>
      </c>
      <c r="D275" s="7"/>
      <c r="E275" s="6" t="s">
        <v>50</v>
      </c>
      <c r="F275" s="8" t="s">
        <v>15</v>
      </c>
      <c r="G275" s="9">
        <v>45958</v>
      </c>
      <c r="H275" s="9">
        <v>46323</v>
      </c>
      <c r="I275" s="6" t="s">
        <v>446</v>
      </c>
      <c r="J275" s="10"/>
      <c r="K275" s="6" t="s">
        <v>495</v>
      </c>
      <c r="L275" s="6"/>
      <c r="M275" s="6" t="s">
        <v>447</v>
      </c>
      <c r="N275" s="6" t="s">
        <v>448</v>
      </c>
    </row>
    <row r="276" spans="1:14" x14ac:dyDescent="0.3">
      <c r="A276" s="6" t="s">
        <v>501</v>
      </c>
      <c r="B276" s="6" t="s">
        <v>13</v>
      </c>
      <c r="C276" s="7">
        <v>6211022844</v>
      </c>
      <c r="D276" s="7"/>
      <c r="E276" s="6" t="s">
        <v>14</v>
      </c>
      <c r="F276" s="8">
        <v>886219533</v>
      </c>
      <c r="G276" s="9">
        <v>45960</v>
      </c>
      <c r="H276" s="9">
        <v>46325</v>
      </c>
      <c r="I276" s="6" t="s">
        <v>444</v>
      </c>
      <c r="J276" s="10">
        <v>17304.990000000002</v>
      </c>
      <c r="K276" s="6" t="s">
        <v>495</v>
      </c>
      <c r="L276" s="6">
        <v>1544.94</v>
      </c>
      <c r="M276" s="6" t="s">
        <v>254</v>
      </c>
      <c r="N276" s="6"/>
    </row>
    <row r="277" spans="1:14" x14ac:dyDescent="0.3">
      <c r="A277" s="6" t="s">
        <v>501</v>
      </c>
      <c r="B277" s="6" t="s">
        <v>41</v>
      </c>
      <c r="C277" s="7">
        <v>7680022666</v>
      </c>
      <c r="D277" s="7"/>
      <c r="E277" s="6" t="s">
        <v>14</v>
      </c>
      <c r="F277" s="8" t="s">
        <v>15</v>
      </c>
      <c r="G277" s="9">
        <v>45960</v>
      </c>
      <c r="H277" s="9">
        <v>46326</v>
      </c>
      <c r="I277" s="6" t="s">
        <v>42</v>
      </c>
      <c r="J277" s="10">
        <v>36690</v>
      </c>
      <c r="K277" s="6" t="s">
        <v>495</v>
      </c>
      <c r="L277" s="6">
        <f>3319.56*0.6</f>
        <v>1991.7359999999999</v>
      </c>
      <c r="M277" s="6" t="s">
        <v>30</v>
      </c>
      <c r="N277" s="6"/>
    </row>
    <row r="278" spans="1:14" x14ac:dyDescent="0.3">
      <c r="A278" s="6" t="s">
        <v>502</v>
      </c>
      <c r="B278" s="6" t="s">
        <v>106</v>
      </c>
      <c r="C278" s="7">
        <v>21188076632</v>
      </c>
      <c r="D278" s="7"/>
      <c r="E278" s="6" t="s">
        <v>14</v>
      </c>
      <c r="F278" s="8" t="s">
        <v>15</v>
      </c>
      <c r="G278" s="9">
        <v>45964</v>
      </c>
      <c r="H278" s="9">
        <v>46329</v>
      </c>
      <c r="I278" s="6" t="s">
        <v>452</v>
      </c>
      <c r="J278" s="10"/>
      <c r="K278" s="6" t="s">
        <v>498</v>
      </c>
      <c r="L278" s="6"/>
      <c r="M278" s="6" t="s">
        <v>17</v>
      </c>
      <c r="N278" s="6">
        <v>24056</v>
      </c>
    </row>
    <row r="279" spans="1:14" x14ac:dyDescent="0.3">
      <c r="A279" s="6" t="s">
        <v>501</v>
      </c>
      <c r="B279" s="6" t="s">
        <v>13</v>
      </c>
      <c r="C279" s="7">
        <v>6211022844</v>
      </c>
      <c r="D279" s="7"/>
      <c r="E279" s="6" t="s">
        <v>14</v>
      </c>
      <c r="F279" s="8">
        <v>891884989</v>
      </c>
      <c r="G279" s="9">
        <v>45967</v>
      </c>
      <c r="H279" s="9">
        <v>46332</v>
      </c>
      <c r="I279" s="6" t="s">
        <v>455</v>
      </c>
      <c r="J279" s="10">
        <v>31432.99</v>
      </c>
      <c r="K279" s="6" t="s">
        <v>495</v>
      </c>
      <c r="L279" s="6">
        <v>2806.24</v>
      </c>
      <c r="M279" s="6" t="s">
        <v>116</v>
      </c>
      <c r="N279" s="6"/>
    </row>
    <row r="280" spans="1:14" x14ac:dyDescent="0.3">
      <c r="A280" s="6" t="s">
        <v>501</v>
      </c>
      <c r="B280" s="6" t="s">
        <v>13</v>
      </c>
      <c r="C280" s="7">
        <v>6211022844</v>
      </c>
      <c r="D280" s="7"/>
      <c r="E280" s="6" t="s">
        <v>14</v>
      </c>
      <c r="F280" s="8">
        <v>891887022</v>
      </c>
      <c r="G280" s="9">
        <v>45967</v>
      </c>
      <c r="H280" s="9">
        <v>46332</v>
      </c>
      <c r="I280" s="6" t="s">
        <v>456</v>
      </c>
      <c r="J280" s="10">
        <v>31432.99</v>
      </c>
      <c r="K280" s="6" t="s">
        <v>495</v>
      </c>
      <c r="L280" s="6">
        <v>2806.24</v>
      </c>
      <c r="M280" s="6" t="s">
        <v>116</v>
      </c>
      <c r="N280" s="6"/>
    </row>
    <row r="281" spans="1:14" x14ac:dyDescent="0.3">
      <c r="A281" s="6" t="s">
        <v>502</v>
      </c>
      <c r="B281" s="6" t="s">
        <v>453</v>
      </c>
      <c r="C281" s="7">
        <v>28117844836</v>
      </c>
      <c r="D281" s="7"/>
      <c r="E281" s="6" t="s">
        <v>14</v>
      </c>
      <c r="F281" s="8">
        <v>453020141</v>
      </c>
      <c r="G281" s="9">
        <v>45968</v>
      </c>
      <c r="H281" s="9">
        <v>46333</v>
      </c>
      <c r="I281" s="6" t="s">
        <v>454</v>
      </c>
      <c r="J281" s="10">
        <v>13230.16</v>
      </c>
      <c r="K281" s="6" t="s">
        <v>498</v>
      </c>
      <c r="L281" s="6">
        <f>1189.13*0.6</f>
        <v>713.47800000000007</v>
      </c>
      <c r="M281" s="6" t="s">
        <v>74</v>
      </c>
      <c r="N281" s="6">
        <v>21643</v>
      </c>
    </row>
    <row r="282" spans="1:14" x14ac:dyDescent="0.3">
      <c r="A282" s="6" t="s">
        <v>502</v>
      </c>
      <c r="B282" s="6" t="s">
        <v>251</v>
      </c>
      <c r="C282" s="7">
        <v>51058081626</v>
      </c>
      <c r="D282" s="7">
        <v>5325525060</v>
      </c>
      <c r="E282" s="6" t="s">
        <v>60</v>
      </c>
      <c r="F282" s="8">
        <v>23037338</v>
      </c>
      <c r="G282" s="9">
        <v>45971</v>
      </c>
      <c r="H282" s="9">
        <v>46336</v>
      </c>
      <c r="I282" s="6"/>
      <c r="J282" s="10">
        <v>2246.9</v>
      </c>
      <c r="K282" s="6" t="s">
        <v>498</v>
      </c>
      <c r="L282" s="6">
        <v>415.68</v>
      </c>
      <c r="M282" s="6" t="s">
        <v>116</v>
      </c>
      <c r="N282" s="6">
        <v>893951404</v>
      </c>
    </row>
    <row r="283" spans="1:14" x14ac:dyDescent="0.3">
      <c r="A283" s="6" t="s">
        <v>502</v>
      </c>
      <c r="B283" s="6" t="s">
        <v>458</v>
      </c>
      <c r="C283" s="7">
        <v>10415461372</v>
      </c>
      <c r="D283" s="7">
        <v>5334184700</v>
      </c>
      <c r="E283" s="6" t="s">
        <v>14</v>
      </c>
      <c r="F283" s="8" t="s">
        <v>15</v>
      </c>
      <c r="G283" s="9">
        <v>45972</v>
      </c>
      <c r="H283" s="9">
        <v>46337</v>
      </c>
      <c r="I283" s="6" t="s">
        <v>459</v>
      </c>
      <c r="J283" s="10"/>
      <c r="K283" s="6" t="s">
        <v>498</v>
      </c>
      <c r="L283" s="6"/>
      <c r="M283" s="6" t="s">
        <v>460</v>
      </c>
      <c r="N283" s="6" t="s">
        <v>461</v>
      </c>
    </row>
    <row r="284" spans="1:14" x14ac:dyDescent="0.3">
      <c r="A284" s="6" t="s">
        <v>502</v>
      </c>
      <c r="B284" s="6" t="s">
        <v>394</v>
      </c>
      <c r="C284" s="7">
        <v>26605894448</v>
      </c>
      <c r="D284" s="7"/>
      <c r="E284" s="6" t="s">
        <v>14</v>
      </c>
      <c r="F284" s="8">
        <v>894427656</v>
      </c>
      <c r="G284" s="9">
        <v>45972</v>
      </c>
      <c r="H284" s="9">
        <v>46337</v>
      </c>
      <c r="I284" s="6" t="s">
        <v>462</v>
      </c>
      <c r="J284" s="10">
        <v>11270.8</v>
      </c>
      <c r="K284" s="6" t="s">
        <v>497</v>
      </c>
      <c r="L284" s="6">
        <v>1054.4000000000001</v>
      </c>
      <c r="M284" s="6" t="s">
        <v>116</v>
      </c>
      <c r="N284" s="6">
        <v>21296</v>
      </c>
    </row>
    <row r="285" spans="1:14" x14ac:dyDescent="0.3">
      <c r="A285" s="6" t="s">
        <v>502</v>
      </c>
      <c r="B285" s="6" t="s">
        <v>394</v>
      </c>
      <c r="C285" s="7">
        <v>26605894448</v>
      </c>
      <c r="D285" s="7"/>
      <c r="E285" s="6" t="s">
        <v>50</v>
      </c>
      <c r="F285" s="8">
        <v>307000196307672</v>
      </c>
      <c r="G285" s="9">
        <v>45972</v>
      </c>
      <c r="H285" s="9">
        <v>46337</v>
      </c>
      <c r="I285" s="6" t="s">
        <v>462</v>
      </c>
      <c r="J285" s="10">
        <v>16795.18</v>
      </c>
      <c r="K285" s="6" t="s">
        <v>497</v>
      </c>
      <c r="L285" s="6">
        <v>2299.2399999999998</v>
      </c>
      <c r="M285" s="6" t="s">
        <v>71</v>
      </c>
      <c r="N285" s="6"/>
    </row>
    <row r="286" spans="1:14" x14ac:dyDescent="0.3">
      <c r="A286" s="6" t="s">
        <v>502</v>
      </c>
      <c r="B286" s="6" t="s">
        <v>251</v>
      </c>
      <c r="C286" s="7">
        <v>51058081626</v>
      </c>
      <c r="D286" s="7">
        <v>5325525060</v>
      </c>
      <c r="E286" s="6" t="s">
        <v>14</v>
      </c>
      <c r="F286" s="8">
        <v>100000462777087</v>
      </c>
      <c r="G286" s="9">
        <v>45941</v>
      </c>
      <c r="H286" s="9">
        <v>46337</v>
      </c>
      <c r="I286" s="6" t="s">
        <v>457</v>
      </c>
      <c r="J286" s="10">
        <v>1742.57</v>
      </c>
      <c r="K286" s="6" t="s">
        <v>498</v>
      </c>
      <c r="L286" s="6">
        <v>156.61000000000001</v>
      </c>
      <c r="M286" s="6" t="s">
        <v>64</v>
      </c>
      <c r="N286" s="6"/>
    </row>
    <row r="287" spans="1:14" x14ac:dyDescent="0.3">
      <c r="A287" s="6" t="s">
        <v>502</v>
      </c>
      <c r="B287" s="6" t="s">
        <v>463</v>
      </c>
      <c r="C287" s="7">
        <v>99999999999</v>
      </c>
      <c r="D287" s="7"/>
      <c r="E287" s="6" t="s">
        <v>464</v>
      </c>
      <c r="F287" s="8">
        <v>603000001278929</v>
      </c>
      <c r="G287" s="9">
        <v>45974</v>
      </c>
      <c r="H287" s="9">
        <v>46339</v>
      </c>
      <c r="I287" s="6"/>
      <c r="J287" s="10">
        <v>730</v>
      </c>
      <c r="K287" s="6" t="s">
        <v>495</v>
      </c>
      <c r="L287" s="6">
        <v>182.5</v>
      </c>
      <c r="M287" s="6" t="s">
        <v>38</v>
      </c>
      <c r="N287" s="6" t="s">
        <v>503</v>
      </c>
    </row>
    <row r="288" spans="1:14" x14ac:dyDescent="0.3">
      <c r="A288" s="6" t="s">
        <v>501</v>
      </c>
      <c r="B288" s="6" t="s">
        <v>124</v>
      </c>
      <c r="C288" s="7">
        <v>6211022844</v>
      </c>
      <c r="D288" s="7"/>
      <c r="E288" s="6" t="s">
        <v>14</v>
      </c>
      <c r="F288" s="8">
        <v>891888074</v>
      </c>
      <c r="G288" s="9">
        <v>45975</v>
      </c>
      <c r="H288" s="9">
        <v>46340</v>
      </c>
      <c r="I288" s="6" t="s">
        <v>265</v>
      </c>
      <c r="J288" s="10">
        <v>17870.98</v>
      </c>
      <c r="K288" s="6" t="s">
        <v>495</v>
      </c>
      <c r="L288" s="6">
        <v>1595.46</v>
      </c>
      <c r="M288" s="6" t="s">
        <v>116</v>
      </c>
      <c r="N288" s="6"/>
    </row>
    <row r="289" spans="1:14" x14ac:dyDescent="0.3">
      <c r="A289" s="6" t="s">
        <v>502</v>
      </c>
      <c r="B289" s="6" t="s">
        <v>43</v>
      </c>
      <c r="C289" s="7">
        <v>18242468410</v>
      </c>
      <c r="D289" s="7">
        <v>5397885190</v>
      </c>
      <c r="E289" s="6" t="s">
        <v>14</v>
      </c>
      <c r="F289" s="8" t="s">
        <v>15</v>
      </c>
      <c r="G289" s="9">
        <v>45979</v>
      </c>
      <c r="H289" s="9">
        <v>46344</v>
      </c>
      <c r="I289" s="6" t="s">
        <v>44</v>
      </c>
      <c r="J289" s="10"/>
      <c r="K289" s="6" t="s">
        <v>497</v>
      </c>
      <c r="L289" s="6"/>
      <c r="M289" s="6" t="s">
        <v>45</v>
      </c>
      <c r="N289" s="6"/>
    </row>
    <row r="290" spans="1:14" x14ac:dyDescent="0.3">
      <c r="A290" s="6" t="s">
        <v>502</v>
      </c>
      <c r="B290" s="6" t="s">
        <v>465</v>
      </c>
      <c r="C290" s="7">
        <v>47896701260</v>
      </c>
      <c r="D290" s="7"/>
      <c r="E290" s="6" t="s">
        <v>14</v>
      </c>
      <c r="F290" s="8">
        <v>100000467406471</v>
      </c>
      <c r="G290" s="9">
        <v>45984</v>
      </c>
      <c r="H290" s="9">
        <v>46349</v>
      </c>
      <c r="I290" s="6" t="s">
        <v>466</v>
      </c>
      <c r="J290" s="10">
        <v>7723.49</v>
      </c>
      <c r="K290" s="6" t="s">
        <v>498</v>
      </c>
      <c r="L290" s="6">
        <v>694.12</v>
      </c>
      <c r="M290" s="6" t="s">
        <v>64</v>
      </c>
      <c r="N290" s="6" t="s">
        <v>467</v>
      </c>
    </row>
    <row r="291" spans="1:14" x14ac:dyDescent="0.3">
      <c r="A291" s="6" t="s">
        <v>502</v>
      </c>
      <c r="B291" s="6" t="s">
        <v>46</v>
      </c>
      <c r="C291" s="7">
        <v>34267003184</v>
      </c>
      <c r="D291" s="7"/>
      <c r="E291" s="6" t="s">
        <v>14</v>
      </c>
      <c r="F291" s="8" t="s">
        <v>15</v>
      </c>
      <c r="G291" s="9">
        <v>45987</v>
      </c>
      <c r="H291" s="9">
        <v>46350</v>
      </c>
      <c r="I291" s="6" t="s">
        <v>47</v>
      </c>
      <c r="J291" s="10"/>
      <c r="K291" s="6" t="s">
        <v>498</v>
      </c>
      <c r="L291" s="6"/>
      <c r="M291" s="6" t="s">
        <v>48</v>
      </c>
      <c r="N291" s="6" t="s">
        <v>49</v>
      </c>
    </row>
    <row r="292" spans="1:14" x14ac:dyDescent="0.3">
      <c r="A292" s="6" t="s">
        <v>502</v>
      </c>
      <c r="B292" s="6" t="s">
        <v>46</v>
      </c>
      <c r="C292" s="7">
        <v>34267003184</v>
      </c>
      <c r="D292" s="7"/>
      <c r="E292" s="6" t="s">
        <v>50</v>
      </c>
      <c r="F292" s="8" t="s">
        <v>15</v>
      </c>
      <c r="G292" s="9">
        <v>45987</v>
      </c>
      <c r="H292" s="9">
        <v>46350</v>
      </c>
      <c r="I292" s="6" t="s">
        <v>47</v>
      </c>
      <c r="J292" s="10"/>
      <c r="K292" s="6" t="s">
        <v>498</v>
      </c>
      <c r="L292" s="6"/>
      <c r="M292" s="6" t="s">
        <v>48</v>
      </c>
      <c r="N292" s="6"/>
    </row>
    <row r="293" spans="1:14" x14ac:dyDescent="0.3">
      <c r="A293" s="6" t="s">
        <v>501</v>
      </c>
      <c r="B293" s="6" t="s">
        <v>471</v>
      </c>
      <c r="C293" s="7">
        <v>6211022844</v>
      </c>
      <c r="D293" s="7"/>
      <c r="E293" s="6" t="s">
        <v>14</v>
      </c>
      <c r="F293" s="8">
        <v>898275311</v>
      </c>
      <c r="G293" s="9">
        <v>45986</v>
      </c>
      <c r="H293" s="9">
        <v>46351</v>
      </c>
      <c r="I293" s="6" t="s">
        <v>472</v>
      </c>
      <c r="J293" s="10">
        <v>59573.99</v>
      </c>
      <c r="K293" s="6" t="s">
        <v>495</v>
      </c>
      <c r="L293" s="6">
        <v>5318.58</v>
      </c>
      <c r="M293" s="6" t="s">
        <v>116</v>
      </c>
      <c r="N293" s="6"/>
    </row>
    <row r="294" spans="1:14" x14ac:dyDescent="0.3">
      <c r="A294" s="6" t="s">
        <v>502</v>
      </c>
      <c r="B294" s="6" t="s">
        <v>474</v>
      </c>
      <c r="C294" s="7">
        <v>19319138038</v>
      </c>
      <c r="D294" s="7"/>
      <c r="E294" s="6" t="s">
        <v>14</v>
      </c>
      <c r="F294" s="8">
        <v>100000472390579</v>
      </c>
      <c r="G294" s="9">
        <v>45987</v>
      </c>
      <c r="H294" s="9">
        <v>46352</v>
      </c>
      <c r="I294" s="6" t="s">
        <v>475</v>
      </c>
      <c r="J294" s="10">
        <v>15446.98</v>
      </c>
      <c r="K294" s="6" t="s">
        <v>495</v>
      </c>
      <c r="L294" s="6">
        <v>1388.25</v>
      </c>
      <c r="M294" s="6" t="s">
        <v>64</v>
      </c>
      <c r="N294" s="6"/>
    </row>
    <row r="295" spans="1:14" x14ac:dyDescent="0.3">
      <c r="A295" s="6" t="s">
        <v>502</v>
      </c>
      <c r="B295" s="6" t="s">
        <v>476</v>
      </c>
      <c r="C295" s="7">
        <v>19382137778</v>
      </c>
      <c r="D295" s="7">
        <v>5315507466</v>
      </c>
      <c r="E295" s="6" t="s">
        <v>56</v>
      </c>
      <c r="F295" s="8">
        <v>1617357125</v>
      </c>
      <c r="G295" s="9">
        <v>45989</v>
      </c>
      <c r="H295" s="9">
        <v>46354</v>
      </c>
      <c r="I295" s="6"/>
      <c r="J295" s="10">
        <v>10506</v>
      </c>
      <c r="K295" s="6" t="s">
        <v>498</v>
      </c>
      <c r="L295" s="6">
        <f>2113.98*0.65</f>
        <v>1374.087</v>
      </c>
      <c r="M295" s="6" t="s">
        <v>30</v>
      </c>
      <c r="N295" s="6" t="s">
        <v>477</v>
      </c>
    </row>
    <row r="296" spans="1:14" x14ac:dyDescent="0.3">
      <c r="A296" s="6" t="s">
        <v>502</v>
      </c>
      <c r="B296" s="6" t="s">
        <v>468</v>
      </c>
      <c r="C296" s="7">
        <v>17615664152</v>
      </c>
      <c r="D296" s="7">
        <v>5464645051</v>
      </c>
      <c r="E296" s="6" t="s">
        <v>14</v>
      </c>
      <c r="F296" s="8">
        <v>100000471524787</v>
      </c>
      <c r="G296" s="9">
        <v>45991</v>
      </c>
      <c r="H296" s="9">
        <v>46356</v>
      </c>
      <c r="I296" s="6" t="s">
        <v>469</v>
      </c>
      <c r="J296" s="10">
        <v>9268.6200000000008</v>
      </c>
      <c r="K296" s="6" t="s">
        <v>497</v>
      </c>
      <c r="L296" s="6">
        <v>832.99</v>
      </c>
      <c r="M296" s="6" t="s">
        <v>64</v>
      </c>
      <c r="N296" s="6" t="s">
        <v>470</v>
      </c>
    </row>
    <row r="297" spans="1:14" x14ac:dyDescent="0.3">
      <c r="A297" s="6" t="s">
        <v>501</v>
      </c>
      <c r="B297" s="6" t="s">
        <v>124</v>
      </c>
      <c r="C297" s="7">
        <v>6211022844</v>
      </c>
      <c r="D297" s="7"/>
      <c r="E297" s="6" t="s">
        <v>14</v>
      </c>
      <c r="F297" s="8">
        <v>899523234</v>
      </c>
      <c r="G297" s="9">
        <v>45993</v>
      </c>
      <c r="H297" s="9">
        <v>46358</v>
      </c>
      <c r="I297" s="6" t="s">
        <v>478</v>
      </c>
      <c r="J297" s="10">
        <v>38000.019999999997</v>
      </c>
      <c r="K297" s="6" t="s">
        <v>495</v>
      </c>
      <c r="L297" s="6">
        <v>3392.7</v>
      </c>
      <c r="M297" s="6" t="s">
        <v>116</v>
      </c>
      <c r="N297" s="6"/>
    </row>
    <row r="298" spans="1:14" x14ac:dyDescent="0.3">
      <c r="A298" s="6" t="s">
        <v>501</v>
      </c>
      <c r="B298" s="6" t="s">
        <v>124</v>
      </c>
      <c r="C298" s="7">
        <v>6211022844</v>
      </c>
      <c r="D298" s="7"/>
      <c r="E298" s="6" t="s">
        <v>485</v>
      </c>
      <c r="F298" s="8"/>
      <c r="G298" s="9">
        <v>45995</v>
      </c>
      <c r="H298" s="9">
        <v>46360</v>
      </c>
      <c r="I298" s="6" t="s">
        <v>486</v>
      </c>
      <c r="J298" s="10">
        <v>2194242.48</v>
      </c>
      <c r="K298" s="6" t="s">
        <v>495</v>
      </c>
      <c r="L298" s="6"/>
      <c r="M298" s="6" t="s">
        <v>116</v>
      </c>
      <c r="N298" s="6"/>
    </row>
    <row r="299" spans="1:14" x14ac:dyDescent="0.3">
      <c r="A299" s="6" t="s">
        <v>502</v>
      </c>
      <c r="B299" s="6" t="s">
        <v>36</v>
      </c>
      <c r="C299" s="7">
        <v>18164569752</v>
      </c>
      <c r="D299" s="7"/>
      <c r="E299" s="6" t="s">
        <v>50</v>
      </c>
      <c r="F299" s="8">
        <v>813850245</v>
      </c>
      <c r="G299" s="9">
        <v>46000</v>
      </c>
      <c r="H299" s="9">
        <v>46360</v>
      </c>
      <c r="I299" s="6" t="s">
        <v>195</v>
      </c>
      <c r="J299" s="10">
        <v>8738.85</v>
      </c>
      <c r="K299" s="6" t="s">
        <v>495</v>
      </c>
      <c r="L299" s="6"/>
      <c r="M299" s="6" t="s">
        <v>196</v>
      </c>
      <c r="N299" s="6"/>
    </row>
    <row r="300" spans="1:14" x14ac:dyDescent="0.3">
      <c r="A300" s="6" t="s">
        <v>502</v>
      </c>
      <c r="B300" s="6" t="s">
        <v>482</v>
      </c>
      <c r="C300" s="7">
        <v>51643635586</v>
      </c>
      <c r="D300" s="7"/>
      <c r="E300" s="6" t="s">
        <v>14</v>
      </c>
      <c r="F300" s="8">
        <v>150362358</v>
      </c>
      <c r="G300" s="9">
        <v>45995</v>
      </c>
      <c r="H300" s="9">
        <v>46360</v>
      </c>
      <c r="I300" s="6" t="s">
        <v>483</v>
      </c>
      <c r="J300" s="10">
        <v>19398.240000000002</v>
      </c>
      <c r="K300" s="6" t="s">
        <v>497</v>
      </c>
      <c r="L300" s="6">
        <v>1743.47</v>
      </c>
      <c r="M300" s="6" t="s">
        <v>61</v>
      </c>
      <c r="N300" s="6" t="s">
        <v>484</v>
      </c>
    </row>
    <row r="301" spans="1:14" x14ac:dyDescent="0.3">
      <c r="A301" s="6" t="s">
        <v>502</v>
      </c>
      <c r="B301" s="6" t="s">
        <v>369</v>
      </c>
      <c r="C301" s="7">
        <v>99613829580</v>
      </c>
      <c r="D301" s="7"/>
      <c r="E301" s="6" t="s">
        <v>487</v>
      </c>
      <c r="F301" s="8">
        <v>3090603</v>
      </c>
      <c r="G301" s="9">
        <v>45996</v>
      </c>
      <c r="H301" s="9">
        <v>46361</v>
      </c>
      <c r="I301" s="6"/>
      <c r="J301" s="10">
        <v>36152</v>
      </c>
      <c r="K301" s="6" t="s">
        <v>495</v>
      </c>
      <c r="L301" s="6"/>
      <c r="M301" s="6" t="s">
        <v>57</v>
      </c>
      <c r="N301" s="6">
        <v>32756</v>
      </c>
    </row>
    <row r="302" spans="1:14" x14ac:dyDescent="0.3">
      <c r="A302" s="6" t="s">
        <v>502</v>
      </c>
      <c r="B302" s="6" t="s">
        <v>499</v>
      </c>
      <c r="C302" s="7">
        <v>60139551224</v>
      </c>
      <c r="D302" s="7">
        <v>5428097254</v>
      </c>
      <c r="E302" s="6" t="s">
        <v>50</v>
      </c>
      <c r="F302" s="8" t="s">
        <v>15</v>
      </c>
      <c r="G302" s="9">
        <v>45998</v>
      </c>
      <c r="H302" s="9">
        <v>46363</v>
      </c>
      <c r="I302" s="6" t="s">
        <v>51</v>
      </c>
      <c r="J302" s="10"/>
      <c r="K302" s="6" t="s">
        <v>497</v>
      </c>
      <c r="L302" s="6"/>
      <c r="M302" s="6" t="s">
        <v>52</v>
      </c>
      <c r="N302" s="6" t="s">
        <v>53</v>
      </c>
    </row>
    <row r="303" spans="1:14" x14ac:dyDescent="0.3">
      <c r="A303" s="6" t="s">
        <v>502</v>
      </c>
      <c r="B303" s="6" t="s">
        <v>488</v>
      </c>
      <c r="C303" s="7">
        <v>24347359300</v>
      </c>
      <c r="D303" s="7"/>
      <c r="E303" s="6" t="s">
        <v>188</v>
      </c>
      <c r="F303" s="8">
        <v>1634995825</v>
      </c>
      <c r="G303" s="9">
        <v>45999</v>
      </c>
      <c r="H303" s="9">
        <v>46364</v>
      </c>
      <c r="I303" s="6"/>
      <c r="J303" s="10">
        <v>3378</v>
      </c>
      <c r="K303" s="6" t="s">
        <v>498</v>
      </c>
      <c r="L303" s="6"/>
      <c r="M303" s="6" t="s">
        <v>30</v>
      </c>
      <c r="N303" s="6"/>
    </row>
    <row r="304" spans="1:14" x14ac:dyDescent="0.3">
      <c r="A304" s="6" t="s">
        <v>502</v>
      </c>
      <c r="B304" s="6" t="s">
        <v>106</v>
      </c>
      <c r="C304" s="7">
        <v>21188076632</v>
      </c>
      <c r="D304" s="7"/>
      <c r="E304" s="6" t="s">
        <v>50</v>
      </c>
      <c r="F304" s="8">
        <v>351000098727066</v>
      </c>
      <c r="G304" s="9">
        <v>46002</v>
      </c>
      <c r="H304" s="9">
        <v>46367</v>
      </c>
      <c r="I304" s="6" t="s">
        <v>452</v>
      </c>
      <c r="J304" s="10">
        <v>8036</v>
      </c>
      <c r="K304" s="6" t="s">
        <v>498</v>
      </c>
      <c r="L304" s="6">
        <v>1148.08</v>
      </c>
      <c r="M304" s="6" t="s">
        <v>38</v>
      </c>
      <c r="N304" s="6">
        <v>24056</v>
      </c>
    </row>
    <row r="305" spans="1:14" x14ac:dyDescent="0.3">
      <c r="A305" s="6" t="s">
        <v>502</v>
      </c>
      <c r="B305" s="6" t="s">
        <v>315</v>
      </c>
      <c r="C305" s="7">
        <v>29854545642</v>
      </c>
      <c r="D305" s="7"/>
      <c r="E305" s="6" t="s">
        <v>60</v>
      </c>
      <c r="F305" s="8">
        <v>86581876</v>
      </c>
      <c r="G305" s="9">
        <v>46002</v>
      </c>
      <c r="H305" s="9">
        <v>46367</v>
      </c>
      <c r="I305" s="6"/>
      <c r="J305" s="10">
        <v>2335.42</v>
      </c>
      <c r="K305" s="6" t="s">
        <v>497</v>
      </c>
      <c r="L305" s="6"/>
      <c r="M305" s="6" t="s">
        <v>38</v>
      </c>
      <c r="N305" s="6" t="s">
        <v>492</v>
      </c>
    </row>
    <row r="306" spans="1:14" x14ac:dyDescent="0.3">
      <c r="A306" s="6" t="s">
        <v>502</v>
      </c>
      <c r="B306" s="6" t="s">
        <v>489</v>
      </c>
      <c r="C306" s="7">
        <v>47869702126</v>
      </c>
      <c r="D306" s="7"/>
      <c r="E306" s="6" t="s">
        <v>14</v>
      </c>
      <c r="F306" s="8">
        <v>100000478393314</v>
      </c>
      <c r="G306" s="9">
        <v>46002</v>
      </c>
      <c r="H306" s="9">
        <v>46367</v>
      </c>
      <c r="I306" s="6" t="s">
        <v>490</v>
      </c>
      <c r="J306" s="10">
        <v>9360.7000000000007</v>
      </c>
      <c r="K306" s="6" t="s">
        <v>498</v>
      </c>
      <c r="L306" s="6"/>
      <c r="M306" s="6" t="s">
        <v>64</v>
      </c>
      <c r="N306" s="6" t="s">
        <v>491</v>
      </c>
    </row>
    <row r="307" spans="1:14" x14ac:dyDescent="0.3">
      <c r="A307" s="6" t="s">
        <v>502</v>
      </c>
      <c r="B307" s="6" t="s">
        <v>468</v>
      </c>
      <c r="C307" s="7">
        <v>17615664152</v>
      </c>
      <c r="D307" s="7"/>
      <c r="E307" s="6" t="s">
        <v>50</v>
      </c>
      <c r="F307" s="8">
        <v>351000099831728</v>
      </c>
      <c r="G307" s="9">
        <v>46003</v>
      </c>
      <c r="H307" s="9">
        <v>46368</v>
      </c>
      <c r="I307" s="6" t="s">
        <v>469</v>
      </c>
      <c r="J307" s="10">
        <v>10160.120000000001</v>
      </c>
      <c r="K307" s="6" t="s">
        <v>497</v>
      </c>
      <c r="L307" s="6"/>
      <c r="M307" s="6" t="s">
        <v>38</v>
      </c>
      <c r="N307" s="6"/>
    </row>
    <row r="308" spans="1:14" x14ac:dyDescent="0.3">
      <c r="A308" s="6" t="s">
        <v>502</v>
      </c>
      <c r="B308" s="6" t="s">
        <v>489</v>
      </c>
      <c r="C308" s="7">
        <v>47869702126</v>
      </c>
      <c r="D308" s="7"/>
      <c r="E308" s="6" t="s">
        <v>50</v>
      </c>
      <c r="F308" s="8">
        <v>307000200789540</v>
      </c>
      <c r="G308" s="9">
        <v>46004</v>
      </c>
      <c r="H308" s="9">
        <v>46369</v>
      </c>
      <c r="I308" s="6" t="s">
        <v>490</v>
      </c>
      <c r="J308" s="10">
        <v>17432.349999999999</v>
      </c>
      <c r="K308" s="6" t="s">
        <v>498</v>
      </c>
      <c r="L308" s="6"/>
      <c r="M308" s="6" t="s">
        <v>71</v>
      </c>
      <c r="N308" s="6"/>
    </row>
    <row r="309" spans="1:14" x14ac:dyDescent="0.3">
      <c r="A309" s="6" t="s">
        <v>502</v>
      </c>
      <c r="B309" s="6" t="s">
        <v>201</v>
      </c>
      <c r="C309" s="7">
        <v>38581298790</v>
      </c>
      <c r="D309" s="7">
        <v>5324280877</v>
      </c>
      <c r="E309" s="6" t="s">
        <v>56</v>
      </c>
      <c r="F309" s="8">
        <v>1071009609908</v>
      </c>
      <c r="G309" s="9">
        <v>46005</v>
      </c>
      <c r="H309" s="9">
        <v>46370</v>
      </c>
      <c r="I309" s="6"/>
      <c r="J309" s="10">
        <v>54443.13</v>
      </c>
      <c r="K309" s="6" t="s">
        <v>497</v>
      </c>
      <c r="L309" s="6"/>
      <c r="M309" s="6" t="s">
        <v>108</v>
      </c>
      <c r="N309" s="6"/>
    </row>
    <row r="310" spans="1:14" x14ac:dyDescent="0.3">
      <c r="A310" s="6" t="s">
        <v>502</v>
      </c>
      <c r="B310" s="6" t="s">
        <v>210</v>
      </c>
      <c r="C310" s="7">
        <v>26533896866</v>
      </c>
      <c r="D310" s="7"/>
      <c r="E310" s="6" t="s">
        <v>132</v>
      </c>
      <c r="F310" s="8">
        <v>44458259</v>
      </c>
      <c r="G310" s="9">
        <v>46006</v>
      </c>
      <c r="H310" s="9">
        <v>46371</v>
      </c>
      <c r="I310" s="6"/>
      <c r="J310" s="10">
        <v>2283.4699999999998</v>
      </c>
      <c r="K310" s="6" t="s">
        <v>497</v>
      </c>
      <c r="L310" s="6">
        <v>456.69</v>
      </c>
      <c r="M310" s="6" t="s">
        <v>38</v>
      </c>
      <c r="N310" s="6" t="s">
        <v>473</v>
      </c>
    </row>
    <row r="311" spans="1:14" x14ac:dyDescent="0.3">
      <c r="A311" s="6" t="s">
        <v>502</v>
      </c>
      <c r="B311" s="6" t="s">
        <v>43</v>
      </c>
      <c r="C311" s="7">
        <v>18242468410</v>
      </c>
      <c r="D311" s="7">
        <v>5397885190</v>
      </c>
      <c r="E311" s="6" t="s">
        <v>60</v>
      </c>
      <c r="F311" s="8">
        <v>81649672</v>
      </c>
      <c r="G311" s="9">
        <v>46007</v>
      </c>
      <c r="H311" s="9">
        <v>46372</v>
      </c>
      <c r="I311" s="6"/>
      <c r="J311" s="10">
        <v>2546.9499999999998</v>
      </c>
      <c r="K311" s="6" t="s">
        <v>497</v>
      </c>
      <c r="L311" s="6">
        <v>509.39</v>
      </c>
      <c r="M311" s="6" t="s">
        <v>61</v>
      </c>
      <c r="N311" s="6" t="s">
        <v>62</v>
      </c>
    </row>
    <row r="312" spans="1:14" x14ac:dyDescent="0.3">
      <c r="A312" s="6" t="s">
        <v>502</v>
      </c>
      <c r="B312" s="6" t="s">
        <v>499</v>
      </c>
      <c r="C312" s="7">
        <v>60139551224</v>
      </c>
      <c r="D312" s="7">
        <v>5428097254</v>
      </c>
      <c r="E312" s="6" t="s">
        <v>14</v>
      </c>
      <c r="F312" s="8" t="s">
        <v>15</v>
      </c>
      <c r="G312" s="9">
        <v>45998</v>
      </c>
      <c r="H312" s="9">
        <v>60608</v>
      </c>
      <c r="I312" s="6" t="s">
        <v>51</v>
      </c>
      <c r="J312" s="10"/>
      <c r="K312" s="6" t="s">
        <v>497</v>
      </c>
      <c r="L312" s="6"/>
      <c r="M312" s="6" t="s">
        <v>34</v>
      </c>
      <c r="N312" s="6" t="s">
        <v>53</v>
      </c>
    </row>
  </sheetData>
  <autoFilter ref="A1:N312" xr:uid="{00000000-0001-0000-0000-000000000000}">
    <sortState xmlns:xlrd2="http://schemas.microsoft.com/office/spreadsheetml/2017/richdata2" ref="A2:N312">
      <sortCondition ref="H1:H312"/>
    </sortState>
  </autoFilter>
  <sortState xmlns:xlrd2="http://schemas.microsoft.com/office/spreadsheetml/2017/richdata2" ref="A2:N312">
    <sortCondition ref="C1:C3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Sinan İpek</dc:creator>
  <cp:lastModifiedBy>Sinan İpek</cp:lastModifiedBy>
  <dcterms:created xsi:type="dcterms:W3CDTF">2015-06-05T18:19:34Z</dcterms:created>
  <dcterms:modified xsi:type="dcterms:W3CDTF">2025-12-13T16:58:02Z</dcterms:modified>
</cp:coreProperties>
</file>