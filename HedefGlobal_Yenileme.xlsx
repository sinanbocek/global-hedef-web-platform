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NN\Documents\SNN\Yapay Zeka Çalışmaları\Global Hedef Web Platform\"/>
    </mc:Choice>
  </mc:AlternateContent>
  <xr:revisionPtr revIDLastSave="0" documentId="13_ncr:1_{DFF20A9D-3B32-4436-B4B6-F3AFBD1387A7}" xr6:coauthVersionLast="47" xr6:coauthVersionMax="47" xr10:uidLastSave="{00000000-0000-0000-0000-000000000000}"/>
  <bookViews>
    <workbookView xWindow="-108" yWindow="-108" windowWidth="23256" windowHeight="12456" tabRatio="598" xr2:uid="{00000000-000D-0000-FFFF-FFFF00000000}"/>
  </bookViews>
  <sheets>
    <sheet name="Sayfa1" sheetId="1" r:id="rId1"/>
    <sheet name="GE" sheetId="2" r:id="rId2"/>
  </sheets>
  <definedNames>
    <definedName name="_xlnm._FilterDatabase" localSheetId="0" hidden="1">Sayfa1!$A$1:$N$625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9" i="1" l="1"/>
  <c r="K227" i="1"/>
  <c r="K374" i="1"/>
  <c r="K202" i="1"/>
  <c r="K441" i="1"/>
  <c r="K324" i="1"/>
  <c r="K252" i="1"/>
  <c r="K241" i="1"/>
  <c r="K246" i="1"/>
  <c r="K602" i="1"/>
  <c r="K106" i="1"/>
  <c r="K102" i="1"/>
  <c r="K18" i="1"/>
  <c r="K228" i="1"/>
  <c r="K576" i="1"/>
  <c r="K426" i="1"/>
  <c r="K425" i="1"/>
  <c r="K379" i="1"/>
  <c r="K166" i="1"/>
  <c r="K255" i="1"/>
  <c r="K261" i="1"/>
  <c r="K150" i="1"/>
  <c r="K114" i="1"/>
  <c r="K164" i="1"/>
  <c r="K109" i="1"/>
  <c r="K54" i="1"/>
  <c r="K60" i="1"/>
  <c r="K440" i="1"/>
  <c r="K251" i="1"/>
  <c r="K240" i="1"/>
  <c r="K323" i="1"/>
  <c r="K250" i="1"/>
  <c r="K71" i="1"/>
  <c r="K179" i="1"/>
  <c r="K325" i="1"/>
  <c r="K277" i="1"/>
  <c r="K322" i="1"/>
  <c r="K327" i="1"/>
  <c r="K215" i="1"/>
  <c r="K5" i="1"/>
  <c r="K9" i="1"/>
  <c r="K343" i="1"/>
  <c r="K269" i="1"/>
  <c r="K239" i="1"/>
  <c r="K442" i="1"/>
  <c r="K245" i="1"/>
  <c r="K222" i="1"/>
  <c r="K342" i="1"/>
  <c r="K4" i="1"/>
  <c r="K248" i="1"/>
</calcChain>
</file>

<file path=xl/sharedStrings.xml><?xml version="1.0" encoding="utf-8"?>
<sst xmlns="http://schemas.openxmlformats.org/spreadsheetml/2006/main" count="3622" uniqueCount="1022">
  <si>
    <t xml:space="preserve">Müşteri </t>
  </si>
  <si>
    <t>poliçe türü</t>
  </si>
  <si>
    <t xml:space="preserve">prim </t>
  </si>
  <si>
    <t>Nurhan Durduran</t>
  </si>
  <si>
    <t>poliçe numarası</t>
  </si>
  <si>
    <t xml:space="preserve">cep tel </t>
  </si>
  <si>
    <t xml:space="preserve">plaka </t>
  </si>
  <si>
    <t xml:space="preserve">tckn </t>
  </si>
  <si>
    <t>çağatay zaim</t>
  </si>
  <si>
    <t>54 AJV 758</t>
  </si>
  <si>
    <t xml:space="preserve"> 54 AJV 400</t>
  </si>
  <si>
    <t>34 BJJ 134</t>
  </si>
  <si>
    <t>gelir</t>
  </si>
  <si>
    <t xml:space="preserve">MİRALAY MADENCİLİK </t>
  </si>
  <si>
    <t>HACIOSMANOĞULLARI</t>
  </si>
  <si>
    <t>hepiyi</t>
  </si>
  <si>
    <t>54 FN 567</t>
  </si>
  <si>
    <t>0001-0210-58809933</t>
  </si>
  <si>
    <t>54 AHY 099</t>
  </si>
  <si>
    <t>ONUR</t>
  </si>
  <si>
    <t>HAYRETTİN</t>
  </si>
  <si>
    <t>allianz onur kuzen</t>
  </si>
  <si>
    <t>CORPUS</t>
  </si>
  <si>
    <t xml:space="preserve">ESİN YÜKSEL </t>
  </si>
  <si>
    <t>DASK 44458259/ ŞİRKET 92223427</t>
  </si>
  <si>
    <t>HEPİYİ</t>
  </si>
  <si>
    <t>İSTANBUL GROUP</t>
  </si>
  <si>
    <t>TRAFİK</t>
  </si>
  <si>
    <t>34 FVU 536</t>
  </si>
  <si>
    <t>ONUR KUZEN AK SİGORTA</t>
  </si>
  <si>
    <t>T-356745403-0-0</t>
  </si>
  <si>
    <t>KASKO</t>
  </si>
  <si>
    <t>54 AJY 611</t>
  </si>
  <si>
    <t xml:space="preserve">ERDEM ÖZÇELİK </t>
  </si>
  <si>
    <t>34 GCS 862</t>
  </si>
  <si>
    <t>BELGE GI - 061790</t>
  </si>
  <si>
    <t>5440 7806 1236 0010   04/25  358</t>
  </si>
  <si>
    <t>ATILIM Danışmanlık</t>
  </si>
  <si>
    <t>54 BC 514</t>
  </si>
  <si>
    <t>BELGE EN 195511</t>
  </si>
  <si>
    <t>HEPİYİ BİZİM KARTTAN 3 TAKSİT</t>
  </si>
  <si>
    <t>T-359313900-0-0</t>
  </si>
  <si>
    <t xml:space="preserve">TRAFİK </t>
  </si>
  <si>
    <t>BAYRAM ÖZGÜRBÜZ</t>
  </si>
  <si>
    <t>EMEL</t>
  </si>
  <si>
    <t>Motor no: PP47129</t>
  </si>
  <si>
    <t>hayrettin kendi kesti Eureko</t>
  </si>
  <si>
    <t xml:space="preserve">CORPUS </t>
  </si>
  <si>
    <t xml:space="preserve">5101 5215 1752 3579   01/26  118 MERVE ZAİM </t>
  </si>
  <si>
    <t>MERVE ZAİM</t>
  </si>
  <si>
    <t>dask 41016340/şirket 93117952</t>
  </si>
  <si>
    <t>DASK 14443378 / ŞİRKET 93113518</t>
  </si>
  <si>
    <t xml:space="preserve">SİNAN İPEK </t>
  </si>
  <si>
    <t>54 AJL 510</t>
  </si>
  <si>
    <t>54 AJJ 273</t>
  </si>
  <si>
    <t>54 AJJ271</t>
  </si>
  <si>
    <t>LALE ALAŞAHİN özkurt</t>
  </si>
  <si>
    <t>sezerler hafriyat</t>
  </si>
  <si>
    <t>54 ZV 789</t>
  </si>
  <si>
    <t xml:space="preserve">AK SİGORTA </t>
  </si>
  <si>
    <t xml:space="preserve">TALİ ŞUBE </t>
  </si>
  <si>
    <t>54BT175</t>
  </si>
  <si>
    <t>54BT178</t>
  </si>
  <si>
    <t>54BT176</t>
  </si>
  <si>
    <t>54BT177</t>
  </si>
  <si>
    <t>54BT179</t>
  </si>
  <si>
    <t>54BT180</t>
  </si>
  <si>
    <t>SEZERLER KGN</t>
  </si>
  <si>
    <t>onur kuzen ray sigorta</t>
  </si>
  <si>
    <t>onur kuzen hdı</t>
  </si>
  <si>
    <t xml:space="preserve">mesut çin </t>
  </si>
  <si>
    <t>54B0267</t>
  </si>
  <si>
    <t>ES 845543  11.01.1978</t>
  </si>
  <si>
    <t>SERPİL ENİŞTE BİROL ARADI</t>
  </si>
  <si>
    <t>onur</t>
  </si>
  <si>
    <t>onur kuzen anadolu</t>
  </si>
  <si>
    <t>GY642642</t>
  </si>
  <si>
    <t>54DP543</t>
  </si>
  <si>
    <t>ABDULLAH YAMAK</t>
  </si>
  <si>
    <t>34ERV201</t>
  </si>
  <si>
    <t>FB278924</t>
  </si>
  <si>
    <t>NEOVA</t>
  </si>
  <si>
    <t>54 D 5583</t>
  </si>
  <si>
    <t>5331690289091016 03/27 142</t>
  </si>
  <si>
    <t>54 D 5584</t>
  </si>
  <si>
    <t>54 ZV 790</t>
  </si>
  <si>
    <t>54 EM 762</t>
  </si>
  <si>
    <t>54 ZA 489</t>
  </si>
  <si>
    <t>ARAÇ KODU 137095 4938 4601 2721 9058 06/24 790</t>
  </si>
  <si>
    <t>EZGİ PADIR</t>
  </si>
  <si>
    <t>AXA</t>
  </si>
  <si>
    <t xml:space="preserve">GIRGIR ÇİP NO: </t>
  </si>
  <si>
    <t>1167,51*0.60</t>
  </si>
  <si>
    <t>468,86*0.60</t>
  </si>
  <si>
    <t>fatma ateş</t>
  </si>
  <si>
    <t>onur tanıdık</t>
  </si>
  <si>
    <t>gl 519707</t>
  </si>
  <si>
    <t>TSS</t>
  </si>
  <si>
    <t xml:space="preserve">ONUR ÜNAL </t>
  </si>
  <si>
    <t>KATKI PAYI</t>
  </si>
  <si>
    <t xml:space="preserve">SÖZLEŞME </t>
  </si>
  <si>
    <t>YENİ / AKTARIM</t>
  </si>
  <si>
    <t>HAYRETTİN SEZER</t>
  </si>
  <si>
    <t>AKTARIM</t>
  </si>
  <si>
    <t>KONUT</t>
  </si>
  <si>
    <t>emel</t>
  </si>
  <si>
    <t xml:space="preserve">ONUR KUZEN AK SİGORTA bizim karttan 3 taksit </t>
  </si>
  <si>
    <t>hdı</t>
  </si>
  <si>
    <t>NESİBE YARAŞ</t>
  </si>
  <si>
    <t>14 BU 757</t>
  </si>
  <si>
    <t>GH 785187</t>
  </si>
  <si>
    <t>tali şube BİZİM KARTTAN ÇEKİLDİ ZEKAYİ BEY</t>
  </si>
  <si>
    <t>54 tss 188</t>
  </si>
  <si>
    <t>54 AGJ 587</t>
  </si>
  <si>
    <t>HAYRETTİN GARANTİDEN KENDİ KESTİ</t>
  </si>
  <si>
    <t>54 aem 814</t>
  </si>
  <si>
    <t>34 um 9757</t>
  </si>
  <si>
    <t>garantiden kendi kesti</t>
  </si>
  <si>
    <t>AKATRIM TUTARI</t>
  </si>
  <si>
    <t>YÖNLENDİREN</t>
  </si>
  <si>
    <t>NİHAT ARDA ŞAHİN</t>
  </si>
  <si>
    <t>ZEHRA SEZER</t>
  </si>
  <si>
    <t>77763750 /Şirket 95235328</t>
  </si>
  <si>
    <t>TURGUT AYDÖN</t>
  </si>
  <si>
    <t>ABDULLAH AYDÖN</t>
  </si>
  <si>
    <t>TURGAY AYDÖN</t>
  </si>
  <si>
    <t>77768038 /Şirket 95247737</t>
  </si>
  <si>
    <t>77768154/Şirket 95247861</t>
  </si>
  <si>
    <t>77768792 /Şirket 9520393</t>
  </si>
  <si>
    <t>77768339 /Şirket 95249076</t>
  </si>
  <si>
    <t>5378293880464015/03.27 / 660</t>
  </si>
  <si>
    <t>5378293880464015/03.27 / 661</t>
  </si>
  <si>
    <t>5378293880464015/03.27 / 662</t>
  </si>
  <si>
    <t>5378293880464015/03.27 / 663</t>
  </si>
  <si>
    <t>AKYURT PERSONEL</t>
  </si>
  <si>
    <t>06FL0360</t>
  </si>
  <si>
    <t xml:space="preserve">ONUR </t>
  </si>
  <si>
    <t>CI163343</t>
  </si>
  <si>
    <t>34CPY600</t>
  </si>
  <si>
    <t>ET349494</t>
  </si>
  <si>
    <t>ANADOLU</t>
  </si>
  <si>
    <t>BİZİM ŞİRKET KARTINDAN ÇEKİLDİ</t>
  </si>
  <si>
    <t xml:space="preserve">ONURA CORPUS YÖNLENDİRMİŞ </t>
  </si>
  <si>
    <t>GD721318</t>
  </si>
  <si>
    <t>ENES ADEM DUMAN</t>
  </si>
  <si>
    <t>NİLGÜN SARI</t>
  </si>
  <si>
    <t>BÜŞRA ASLAN</t>
  </si>
  <si>
    <t xml:space="preserve">ZEHRA ASLAN </t>
  </si>
  <si>
    <t xml:space="preserve">ZEYNEP ASLAN </t>
  </si>
  <si>
    <t>HAMİYET ÖZGÜRBÜZ</t>
  </si>
  <si>
    <t>AHMET METİN YILDIRIM</t>
  </si>
  <si>
    <t>96222611/DASK POLİÇE NO 58496784</t>
  </si>
  <si>
    <t>100000217825399 /DASK POLİÇE NO 78011302</t>
  </si>
  <si>
    <t xml:space="preserve">MUSTAFA AKAR </t>
  </si>
  <si>
    <t xml:space="preserve">ENVER NADİR COŞAR </t>
  </si>
  <si>
    <t>ÖSS</t>
  </si>
  <si>
    <t xml:space="preserve">BAYRAM FAHRİ DURDURAN </t>
  </si>
  <si>
    <t>96371490/ DASK 63022563</t>
  </si>
  <si>
    <t>54AKG740</t>
  </si>
  <si>
    <t>HC163020</t>
  </si>
  <si>
    <t>HATİCE ÖĞÜNÇ</t>
  </si>
  <si>
    <t>KERİME ÖĞÜNÇ</t>
  </si>
  <si>
    <t>96500716 / DASK 72612262</t>
  </si>
  <si>
    <t>96500415 / DASK 72612205</t>
  </si>
  <si>
    <t>96507865 / dask 72612233</t>
  </si>
  <si>
    <t>ELİF VATANSEVER</t>
  </si>
  <si>
    <t>YEŞİL KART</t>
  </si>
  <si>
    <t xml:space="preserve">İBRAHİM ÖZGÜRBÜZ </t>
  </si>
  <si>
    <t>96592256/DASK 23663866</t>
  </si>
  <si>
    <t>54 AIZ 759 GS 514633   18.03.1987</t>
  </si>
  <si>
    <t>TOLGA HAN TAYLAN</t>
  </si>
  <si>
    <t>54 B 3810</t>
  </si>
  <si>
    <t xml:space="preserve">HEPİYİ </t>
  </si>
  <si>
    <t>EMEL İPEK</t>
  </si>
  <si>
    <t>ACIBADEM</t>
  </si>
  <si>
    <t>8,736.23</t>
  </si>
  <si>
    <t xml:space="preserve">BARIŞ UZEL </t>
  </si>
  <si>
    <t xml:space="preserve">KASKO </t>
  </si>
  <si>
    <t>06DNM541</t>
  </si>
  <si>
    <t>RAY</t>
  </si>
  <si>
    <t>HE 830806</t>
  </si>
  <si>
    <t>CUMHUR BEKMEZ</t>
  </si>
  <si>
    <t>GT 281934</t>
  </si>
  <si>
    <t>34GUF076</t>
  </si>
  <si>
    <t>54AID123</t>
  </si>
  <si>
    <t>HDI</t>
  </si>
  <si>
    <t>QUICK</t>
  </si>
  <si>
    <t xml:space="preserve">HÜSAMETTİN BÖCEK </t>
  </si>
  <si>
    <t>MAS OTEL</t>
  </si>
  <si>
    <t>İŞ YERİ</t>
  </si>
  <si>
    <t>EUREKO</t>
  </si>
  <si>
    <t>ALLIANZ</t>
  </si>
  <si>
    <t xml:space="preserve">4402 9300 3242 7100  06/28  CVV 507
</t>
  </si>
  <si>
    <t>KATILIM DEĞİŞKEN EYF</t>
  </si>
  <si>
    <t>ALTIN KATILIM EYF</t>
  </si>
  <si>
    <t>SÜRDÜRÜLEBİLİRLİK HİSSE SENEDİ EY</t>
  </si>
  <si>
    <t>MÜŞERREF TOKEL</t>
  </si>
  <si>
    <t>34ESB70</t>
  </si>
  <si>
    <t>GK 536265</t>
  </si>
  <si>
    <t xml:space="preserve">HALUK GÜVEN </t>
  </si>
  <si>
    <t>54AAH038</t>
  </si>
  <si>
    <t>EB321359</t>
  </si>
  <si>
    <t>MÜRÜVVET TORNUK</t>
  </si>
  <si>
    <t>54KN633</t>
  </si>
  <si>
    <t xml:space="preserve">4329 5445 2981 5014  02/25 682  MERVE BAŞARAN </t>
  </si>
  <si>
    <t>FJ 492418</t>
  </si>
  <si>
    <t xml:space="preserve">EZGİ YÜCEL </t>
  </si>
  <si>
    <t>DİDEM ÖZÇELİK</t>
  </si>
  <si>
    <t>1.62 / 54</t>
  </si>
  <si>
    <t>AVEON</t>
  </si>
  <si>
    <t>5218 0718 7849 4440  03/29  635</t>
  </si>
  <si>
    <t>FARUK ÇOŞKUN KARTINDAN ÇEKİLDİ TCKN: 14584122782  KART NO: 5407 0969 8001 7012  8/28   201</t>
  </si>
  <si>
    <t>GO 259713</t>
  </si>
  <si>
    <t>kapı müşterisi</t>
  </si>
  <si>
    <t>34JF8370</t>
  </si>
  <si>
    <t>CI686966    28.05.1982</t>
  </si>
  <si>
    <t>MUHAMMET ERDEM</t>
  </si>
  <si>
    <t xml:space="preserve">AYŞE KALKAN </t>
  </si>
  <si>
    <t xml:space="preserve">DASK </t>
  </si>
  <si>
    <t xml:space="preserve">98433158 /DASK POLİÇE NO : 78479225  </t>
  </si>
  <si>
    <t>54 AHT 700</t>
  </si>
  <si>
    <t>POLİÇE VADESİ</t>
  </si>
  <si>
    <t>KESİM TARİHİ</t>
  </si>
  <si>
    <t>54AKJ035</t>
  </si>
  <si>
    <t>54AKJ027</t>
  </si>
  <si>
    <t>HF 440186</t>
  </si>
  <si>
    <t>HF 440187</t>
  </si>
  <si>
    <t>34FYA730</t>
  </si>
  <si>
    <t>54BS183</t>
  </si>
  <si>
    <t>54AF369</t>
  </si>
  <si>
    <t>GK 069539</t>
  </si>
  <si>
    <t>FETHİ KIRIKÇI</t>
  </si>
  <si>
    <t>GÜLSÜM SEZER AKAR</t>
  </si>
  <si>
    <t>54 BS 298</t>
  </si>
  <si>
    <t>el 183543</t>
  </si>
  <si>
    <t>SEZERLER HAFRİYAT</t>
  </si>
  <si>
    <t>54 ZD 211</t>
  </si>
  <si>
    <t xml:space="preserve">HAYRETTİN </t>
  </si>
  <si>
    <t>34KKU844</t>
  </si>
  <si>
    <t>HF 439317</t>
  </si>
  <si>
    <t>bizim karttan /KARTA ÖDENDİ</t>
  </si>
  <si>
    <t>bizim karttan/ KARTA ÖDENDİ</t>
  </si>
  <si>
    <t>54EG633</t>
  </si>
  <si>
    <t>CY 476324</t>
  </si>
  <si>
    <t>MOTOR 254915V0518328 / ŞASİ W1KAF4DB2RF157728 2024 MODEL MERCEDES</t>
  </si>
  <si>
    <t>34DGZ33</t>
  </si>
  <si>
    <t>ÖMER FARUK DEREGÖZÜ</t>
  </si>
  <si>
    <t>FİKRİ DEREGÖZÜ</t>
  </si>
  <si>
    <t>34DGZ90</t>
  </si>
  <si>
    <t>MOTOR 254915V0506102 / ŞASİ W1KAF4DB2RF156529 2024 MODEL MERCEDES ARAÇ KODU 902526</t>
  </si>
  <si>
    <t>mersu ala otel</t>
  </si>
  <si>
    <t>SOMPO</t>
  </si>
  <si>
    <t xml:space="preserve">7 MİLYON CİRO hasarsız </t>
  </si>
  <si>
    <t>MAHMUT ÖZTÜRK</t>
  </si>
  <si>
    <t>İSMAİL MÜDÜRÜ 157 METREKARE  UAVT 5469795727</t>
  </si>
  <si>
    <t xml:space="preserve">KADRİYE ÜNAL </t>
  </si>
  <si>
    <t>34ESR626</t>
  </si>
  <si>
    <t>41 HY 189</t>
  </si>
  <si>
    <t>01.03.1962/29.01.1960</t>
  </si>
  <si>
    <t xml:space="preserve">RECEP ÜNAL </t>
  </si>
  <si>
    <t>ŞİRKET 15464719 /DASK POL. 78986628</t>
  </si>
  <si>
    <t>FATİH ÇELİK</t>
  </si>
  <si>
    <t>HF 834990</t>
  </si>
  <si>
    <t xml:space="preserve">HAMİ BÖCEK </t>
  </si>
  <si>
    <t>54 HB 366</t>
  </si>
  <si>
    <t>25abd286</t>
  </si>
  <si>
    <t>GZ 538531 / 22.07.1991</t>
  </si>
  <si>
    <t xml:space="preserve">MEHMET EDİKLİ </t>
  </si>
  <si>
    <t>ERBİL SERİN</t>
  </si>
  <si>
    <t>05417287668 BABASI HALİM bey aracı kullanan</t>
  </si>
  <si>
    <t>15.10.1980 / BS824902</t>
  </si>
  <si>
    <t>54EV164</t>
  </si>
  <si>
    <t>54ACC369</t>
  </si>
  <si>
    <t>4938410164502742  05/29  251 özkanın arkadaşı</t>
  </si>
  <si>
    <t>54 AIV140</t>
  </si>
  <si>
    <t xml:space="preserve">NURETTİN ONUR ÜNAL </t>
  </si>
  <si>
    <t>GR 201230</t>
  </si>
  <si>
    <t>UFUK tckn :13664716026</t>
  </si>
  <si>
    <t>EMİN BÖCEK</t>
  </si>
  <si>
    <t>ALİ ÜNAL</t>
  </si>
  <si>
    <t>ESRA ÜNAL</t>
  </si>
  <si>
    <t>SİNAN İPEK</t>
  </si>
  <si>
    <t>HARUN BÖCEK</t>
  </si>
  <si>
    <t>RAMAZAN SEZER</t>
  </si>
  <si>
    <t>ERTEM AYCAN</t>
  </si>
  <si>
    <t>FON BÜYÜKLÜĞÜ</t>
  </si>
  <si>
    <t>GÜNEY KORAY GÖKBAYRAK</t>
  </si>
  <si>
    <t>54AL282</t>
  </si>
  <si>
    <t>3990394498 / 1090434767</t>
  </si>
  <si>
    <t xml:space="preserve">GÖKAR LOJ / AYC FİLO 135 ARAÇ </t>
  </si>
  <si>
    <t>FİLO</t>
  </si>
  <si>
    <t xml:space="preserve">DRIVE MÜŞTERİ LİSTESİNDE VAR </t>
  </si>
  <si>
    <t>54 AL 282</t>
  </si>
  <si>
    <t>Global Hedef</t>
  </si>
  <si>
    <t>İSTANBUL GROUP SATILDI</t>
  </si>
  <si>
    <t xml:space="preserve">BABAİŞ İNŞAAT </t>
  </si>
  <si>
    <t>HF 441005</t>
  </si>
  <si>
    <t>MUHSİN BABA KART SAHİBİ 4273 1400 0453 9033   07/28 136</t>
  </si>
  <si>
    <t>54RB228</t>
  </si>
  <si>
    <t>54 RB 228</t>
  </si>
  <si>
    <t>34DYU699</t>
  </si>
  <si>
    <t xml:space="preserve">HANDAN KİŞİOĞLU </t>
  </si>
  <si>
    <t>54 AKH 761</t>
  </si>
  <si>
    <t>DASK</t>
  </si>
  <si>
    <t>MEBS İNŞAAT TARIM</t>
  </si>
  <si>
    <t>UAVT 5003948436</t>
  </si>
  <si>
    <t>ŞİRKET 16105800/ DASK pol 79155067</t>
  </si>
  <si>
    <t>GM 895908</t>
  </si>
  <si>
    <t>HD 452192</t>
  </si>
  <si>
    <t>18.11.1954/ 5400637012383778   11/26  684</t>
  </si>
  <si>
    <t>7528.64 </t>
  </si>
  <si>
    <t>23960.01</t>
  </si>
  <si>
    <t xml:space="preserve">şirket kartından çekildi </t>
  </si>
  <si>
    <t>CR İŞ MAKİNELERİ</t>
  </si>
  <si>
    <t>35ACF867</t>
  </si>
  <si>
    <t>FZ221707</t>
  </si>
  <si>
    <t>ETHICA</t>
  </si>
  <si>
    <t>SEDA GÜVEN</t>
  </si>
  <si>
    <t>34FKG127</t>
  </si>
  <si>
    <t>GD080712</t>
  </si>
  <si>
    <t>35.000 MODIFY EK DONANIM 18.03.1987</t>
  </si>
  <si>
    <t>HALİL UYGUR</t>
  </si>
  <si>
    <t>006RNR50</t>
  </si>
  <si>
    <t>CT 836901</t>
  </si>
  <si>
    <t>41 ARAÇ</t>
  </si>
  <si>
    <t>2 YIL KOMSİYON YOK</t>
  </si>
  <si>
    <t>EVCİL HAYVAN</t>
  </si>
  <si>
    <t>TRAFİK/KASKO</t>
  </si>
  <si>
    <t>20.06.1980 internetten bulmuş uzman çavuş</t>
  </si>
  <si>
    <t>MÜRSEL DEMİRER</t>
  </si>
  <si>
    <t>34DG3494</t>
  </si>
  <si>
    <t xml:space="preserve">kapı müşterisi </t>
  </si>
  <si>
    <t>DE032898 /01.02.1960</t>
  </si>
  <si>
    <t>PINAR CAN</t>
  </si>
  <si>
    <t>HİSSE SENEDİ</t>
  </si>
  <si>
    <t>HYS KOÇ</t>
  </si>
  <si>
    <t>AEM İŞ BANKASI İŞTİRAK</t>
  </si>
  <si>
    <t>PARA PİYASASI</t>
  </si>
  <si>
    <t>ÜÇÜNCÜ DEĞİŞKEN EYF</t>
  </si>
  <si>
    <t>BİRİNCİ FON SEPETİ</t>
  </si>
  <si>
    <t>DIŞ BORÇLANMA ARAÇLARI</t>
  </si>
  <si>
    <t>STANDART EYF</t>
  </si>
  <si>
    <t>SMART DEĞİŞKEN EYF</t>
  </si>
  <si>
    <t>şirket pol no16642232/dask poliçe 59473497</t>
  </si>
  <si>
    <t>208,74 ₺</t>
  </si>
  <si>
    <t xml:space="preserve">MERT ALİ ASLAN </t>
  </si>
  <si>
    <t>06 DTZ430</t>
  </si>
  <si>
    <t xml:space="preserve">internetten onura mesaj geldi </t>
  </si>
  <si>
    <t>GR605228</t>
  </si>
  <si>
    <t>54AAP461</t>
  </si>
  <si>
    <t>NERİMAN YILMAZ</t>
  </si>
  <si>
    <t>EL179712</t>
  </si>
  <si>
    <t>MURAT ALPER KİŞİOĞLU</t>
  </si>
  <si>
    <t>YAŞAR KEMAL KIROĞLU</t>
  </si>
  <si>
    <t>54 AFP 251</t>
  </si>
  <si>
    <t>yılgenci sinan müşterisi</t>
  </si>
  <si>
    <t>FM121578</t>
  </si>
  <si>
    <t>34 CIA 121</t>
  </si>
  <si>
    <t>SUZAN ÖZGÜRBÜZ</t>
  </si>
  <si>
    <t>4506 3441 8008 1518  05/29  230</t>
  </si>
  <si>
    <t>39138768 DASK POL NO / ŞİRKET 17340308</t>
  </si>
  <si>
    <t>SEDA ŞENTÜRK</t>
  </si>
  <si>
    <t xml:space="preserve">5345972931 İSMAİL NUMARASI </t>
  </si>
  <si>
    <t>HF 672915</t>
  </si>
  <si>
    <t>08.03.1988   / 5269 1102 3397 1243  08/28  029</t>
  </si>
  <si>
    <t>54AKH245</t>
  </si>
  <si>
    <t>DASK POLİÇE 59932648/ ŞİRKET POLİÇE 102666152</t>
  </si>
  <si>
    <t>AYDIN HİLMİ DOĞAN</t>
  </si>
  <si>
    <t>GAMZE ALTAY</t>
  </si>
  <si>
    <t>34RL1184</t>
  </si>
  <si>
    <t>HI548517</t>
  </si>
  <si>
    <t>hayrettin karttan çekildi 29.02.1996</t>
  </si>
  <si>
    <t>EMEL BALTA</t>
  </si>
  <si>
    <t>YURTDIŞI SEYAHAT</t>
  </si>
  <si>
    <t>34CHP13</t>
  </si>
  <si>
    <t>HG 449095</t>
  </si>
  <si>
    <t>MAS OTEL HUNGER</t>
  </si>
  <si>
    <t>MAS OTEL MULTIBRAND</t>
  </si>
  <si>
    <t>FA  679868</t>
  </si>
  <si>
    <t>HALİS ÖZMERT</t>
  </si>
  <si>
    <t>16BPS34</t>
  </si>
  <si>
    <t>FL 046327</t>
  </si>
  <si>
    <t>DASK POLİÇE 79614903/ŞİRKET 17756197</t>
  </si>
  <si>
    <t>AMIR POURZAD</t>
  </si>
  <si>
    <t>corpus internet28.05.1998</t>
  </si>
  <si>
    <t>GT 831102</t>
  </si>
  <si>
    <t>34DB5946</t>
  </si>
  <si>
    <t>HÜSEYİN YETKİNER</t>
  </si>
  <si>
    <t>bizim karttan çekildi 01.08.1987</t>
  </si>
  <si>
    <t>corpus internet 01.01.1988</t>
  </si>
  <si>
    <t>EG 545428</t>
  </si>
  <si>
    <t>54AAS007</t>
  </si>
  <si>
    <t>ALKAN KIRCAALİ</t>
  </si>
  <si>
    <t xml:space="preserve">ERCAN ORUÇ </t>
  </si>
  <si>
    <t xml:space="preserve">EMEL ABLA ortağı </t>
  </si>
  <si>
    <t>AHMET MAYUK</t>
  </si>
  <si>
    <t>54ACE128</t>
  </si>
  <si>
    <t>HF 535388</t>
  </si>
  <si>
    <t>DOĞA</t>
  </si>
  <si>
    <t>hayrettin çalışanı</t>
  </si>
  <si>
    <t>Mustafa bey5352524703</t>
  </si>
  <si>
    <t>FOROOZAN KHADEMI</t>
  </si>
  <si>
    <t>34 MD 9669</t>
  </si>
  <si>
    <t xml:space="preserve"> GT 343684</t>
  </si>
  <si>
    <t>HAYRETTİN ŞAHSİ KART 5289 3954 1280 1016  01/26  674</t>
  </si>
  <si>
    <t>PERS SİGORTADAN KESİLDİ</t>
  </si>
  <si>
    <t>LEVENT DURNA</t>
  </si>
  <si>
    <t>İDRİS KARA</t>
  </si>
  <si>
    <t>HAMİ ABİ kızının aracı</t>
  </si>
  <si>
    <t>YILMAZ ŞAHİN</t>
  </si>
  <si>
    <t>34ECM533</t>
  </si>
  <si>
    <t>GC 206911</t>
  </si>
  <si>
    <t>54 AFS573</t>
  </si>
  <si>
    <t>FC 936201</t>
  </si>
  <si>
    <t>ÖZLEM BURAK</t>
  </si>
  <si>
    <t xml:space="preserve">31.08.1991 Kreş </t>
  </si>
  <si>
    <t>fikri deregözü kartından çekildi20.08.1955</t>
  </si>
  <si>
    <t>HACI ÖMER SEYHAN</t>
  </si>
  <si>
    <t>54AHR736</t>
  </si>
  <si>
    <t>GR862029</t>
  </si>
  <si>
    <t>MINIMALIST SAPANCA</t>
  </si>
  <si>
    <t>UAVT 6211022844</t>
  </si>
  <si>
    <t xml:space="preserve">171 - 75 kilo </t>
  </si>
  <si>
    <t>0545 554 20 54</t>
  </si>
  <si>
    <t>UFUK FURUNCUOĞLU</t>
  </si>
  <si>
    <t>54ACP274</t>
  </si>
  <si>
    <t>6492637-</t>
  </si>
  <si>
    <t>FERHAT BAŞOĞLU</t>
  </si>
  <si>
    <t xml:space="preserve">07.01.1996 183-110KG  / 19678306314 Neslihan başoğlu 160-58 kg/  17156603740 Irmak başoğlu 65cm / 8 kg   </t>
  </si>
  <si>
    <t xml:space="preserve">BEDİRHAN TAN </t>
  </si>
  <si>
    <t>18/01/1999 183/103 KG</t>
  </si>
  <si>
    <t>trafik</t>
  </si>
  <si>
    <t>54AJT879</t>
  </si>
  <si>
    <t>20.07.1999 MOTORSİKLET</t>
  </si>
  <si>
    <t>ÇAĞATAY DEDE</t>
  </si>
  <si>
    <t>16AVS521</t>
  </si>
  <si>
    <t>HJ 298153</t>
  </si>
  <si>
    <t>DURSUN KANLI</t>
  </si>
  <si>
    <t>Eureko poliçe 33897644/DASK poliçe no: 43144397</t>
  </si>
  <si>
    <t>34HHU716</t>
  </si>
  <si>
    <t>GT 140023</t>
  </si>
  <si>
    <t>1,449.22</t>
  </si>
  <si>
    <t>GC207089</t>
  </si>
  <si>
    <t>27L8477</t>
  </si>
  <si>
    <t>5331 6902 8909 1016 03/27 142</t>
  </si>
  <si>
    <t>54 BV 175</t>
  </si>
  <si>
    <t>06 DE 7856</t>
  </si>
  <si>
    <t xml:space="preserve">54 ADP 884 </t>
  </si>
  <si>
    <t>54 ADP 702</t>
  </si>
  <si>
    <t>41 BK 749</t>
  </si>
  <si>
    <t>MİRALAY MADENCİLİK</t>
  </si>
  <si>
    <t>GF 037734</t>
  </si>
  <si>
    <t>GD 763980</t>
  </si>
  <si>
    <t>GD 763981</t>
  </si>
  <si>
    <t>GJ 107785</t>
  </si>
  <si>
    <t>CT 368638</t>
  </si>
  <si>
    <t>EUREKO KENDİ KESTİ</t>
  </si>
  <si>
    <t>GY807996</t>
  </si>
  <si>
    <t>106129290 / DASK POLİÇE 56172345</t>
  </si>
  <si>
    <t>54UF019</t>
  </si>
  <si>
    <t>HK369005</t>
  </si>
  <si>
    <t>54AIG008</t>
  </si>
  <si>
    <t xml:space="preserve">EMEL </t>
  </si>
  <si>
    <t xml:space="preserve">trafik </t>
  </si>
  <si>
    <t>77ADJ797</t>
  </si>
  <si>
    <t>HB728644</t>
  </si>
  <si>
    <t>HK104491</t>
  </si>
  <si>
    <t>HB 728644</t>
  </si>
  <si>
    <t>10.03.1988 onur</t>
  </si>
  <si>
    <t>20674594 /dask poliçe 80623363</t>
  </si>
  <si>
    <t>ERTUĞRUL ÖZCAN</t>
  </si>
  <si>
    <t>BELPAŞ müdür şoför teklif aldı 28.12.1955</t>
  </si>
  <si>
    <t>CE 720922</t>
  </si>
  <si>
    <t>ŞÜKRAN AKYÜZ</t>
  </si>
  <si>
    <t>34EDA092</t>
  </si>
  <si>
    <t>GU 080653</t>
  </si>
  <si>
    <t xml:space="preserve">İNŞAAT ALL RİSK </t>
  </si>
  <si>
    <t>İMM</t>
  </si>
  <si>
    <t>ERDOĞAN KANLI</t>
  </si>
  <si>
    <t>DASK POLİÇE 56504187/ AVEON POLİÇE 20731881</t>
  </si>
  <si>
    <t>BARIŞ UÇAK</t>
  </si>
  <si>
    <t>54SJ425</t>
  </si>
  <si>
    <t>HK868317</t>
  </si>
  <si>
    <t>NURSEN GÜNEYSU</t>
  </si>
  <si>
    <t>23.11.1964 Belediyeden Sinem hanım iletişime geçtik</t>
  </si>
  <si>
    <t>LEVENT ÖZER</t>
  </si>
  <si>
    <t>34UU1361</t>
  </si>
  <si>
    <t>GR877318</t>
  </si>
  <si>
    <t>Muhasebeci didem hanım 22.01.1990</t>
  </si>
  <si>
    <t>anadolu hesaplı kasko</t>
  </si>
  <si>
    <t>DASK POLİÇE NO 80826465/ ŞİRKET 107276513</t>
  </si>
  <si>
    <t>ZEYNEP SARGIN</t>
  </si>
  <si>
    <t xml:space="preserve">CANSEL ÖZÇELİK </t>
  </si>
  <si>
    <t>54AKR332</t>
  </si>
  <si>
    <t>HK797585</t>
  </si>
  <si>
    <t>163 CM 61 KG 10.02.1991  DİDEM hanımın kardeşi</t>
  </si>
  <si>
    <t xml:space="preserve">ERDOĞAN KANLI </t>
  </si>
  <si>
    <t>34DHY382</t>
  </si>
  <si>
    <t xml:space="preserve">eureko ekrandan </t>
  </si>
  <si>
    <t>54AJR608</t>
  </si>
  <si>
    <t>GZ491007</t>
  </si>
  <si>
    <t xml:space="preserve">BE529939 </t>
  </si>
  <si>
    <t>MÜRVET SEZER</t>
  </si>
  <si>
    <t xml:space="preserve">ACIBADEM </t>
  </si>
  <si>
    <t>54AJV364</t>
  </si>
  <si>
    <t>HL009225</t>
  </si>
  <si>
    <t>54 B 1477</t>
  </si>
  <si>
    <t>KORU</t>
  </si>
  <si>
    <t>ZEKAYİ ÇETİNKAYA</t>
  </si>
  <si>
    <t>54AKY672</t>
  </si>
  <si>
    <t>HL968212</t>
  </si>
  <si>
    <t>FİLİZ ŞAHİN</t>
  </si>
  <si>
    <t>54EB058</t>
  </si>
  <si>
    <t>GD759938</t>
  </si>
  <si>
    <t>12/29 617</t>
  </si>
  <si>
    <t xml:space="preserve">ÖMER </t>
  </si>
  <si>
    <t>BURCU EROL</t>
  </si>
  <si>
    <t>54VA196</t>
  </si>
  <si>
    <t>HL480125</t>
  </si>
  <si>
    <t>54AJH416</t>
  </si>
  <si>
    <t>54AJH381</t>
  </si>
  <si>
    <t>GZ 487225</t>
  </si>
  <si>
    <t>GZ 487226</t>
  </si>
  <si>
    <t>GR 132512</t>
  </si>
  <si>
    <t>54SB486</t>
  </si>
  <si>
    <t xml:space="preserve">EMİN ARSLAN </t>
  </si>
  <si>
    <t>54ABA395</t>
  </si>
  <si>
    <t>HL046122</t>
  </si>
  <si>
    <t>YAŞAR PADIR</t>
  </si>
  <si>
    <t>FI632502</t>
  </si>
  <si>
    <t>35ASN234</t>
  </si>
  <si>
    <t>SAPAŞ TURİZM</t>
  </si>
  <si>
    <t>AA717990</t>
  </si>
  <si>
    <t>ZURICH</t>
  </si>
  <si>
    <t>MOTOR NO :463478133316632  ŞASE:ZACNJEEA3PPS75915</t>
  </si>
  <si>
    <t>uavt 3908505880 1-3 kat 2007-2019 17.06.1992</t>
  </si>
  <si>
    <t>44458259/109282249</t>
  </si>
  <si>
    <t>HASİBE NAZLI AĞAR</t>
  </si>
  <si>
    <t>34TR9730</t>
  </si>
  <si>
    <t>FT108540</t>
  </si>
  <si>
    <t>DİDEM hanım yönlendirdi 21.02.1985</t>
  </si>
  <si>
    <t>ÖMER ŞAHİN</t>
  </si>
  <si>
    <t>16NYB95</t>
  </si>
  <si>
    <t>FH182202</t>
  </si>
  <si>
    <t xml:space="preserve"> BERİL ZÜLAL BERK/ASLIHAN ÖZTÜRK BERK </t>
  </si>
  <si>
    <t>54AKA599</t>
  </si>
  <si>
    <t>54BF933</t>
  </si>
  <si>
    <t>EUREKO ekrandan kesti 23.04.1989</t>
  </si>
  <si>
    <t>BELGE SERİ NO:HG 689749</t>
  </si>
  <si>
    <t xml:space="preserve"> BERİL ZÜLAL BERK/TELEFON ASLIHAN ÖZTÜRK BERK </t>
  </si>
  <si>
    <t>ONUR yönlendirdi Serap Güven çelik aradı 18.07.1991</t>
  </si>
  <si>
    <t>ELA ŞENTÜRK</t>
  </si>
  <si>
    <t>İSMAİL ŞENTÜRK</t>
  </si>
  <si>
    <t>06EDK357</t>
  </si>
  <si>
    <t>HA073706</t>
  </si>
  <si>
    <t>FARUK COŞKUN</t>
  </si>
  <si>
    <t xml:space="preserve">KAZIM GÜLŞEN /AYFER ABLA </t>
  </si>
  <si>
    <t>ADRES KODU 2419642414 / 200 METREKARE  / 01.10.1965</t>
  </si>
  <si>
    <t>DASK 81551483/ŞİRKET 110689486</t>
  </si>
  <si>
    <t>GJ 107065</t>
  </si>
  <si>
    <t>CI 550422</t>
  </si>
  <si>
    <t>GZ489386</t>
  </si>
  <si>
    <t>ALPEREN ÖZDEN</t>
  </si>
  <si>
    <t>ARDA ÖZDEN</t>
  </si>
  <si>
    <t>BÜLENT ÖZDEN 51613452984</t>
  </si>
  <si>
    <t>Banka kesti</t>
  </si>
  <si>
    <t>UAVT 3183741671</t>
  </si>
  <si>
    <t>DASK POLİÇE 81649672/ ŞİRKET 111179337</t>
  </si>
  <si>
    <t>TRAFİK KAZASI TAMALAYICI</t>
  </si>
  <si>
    <t>HAYAT SİGORTASI</t>
  </si>
  <si>
    <t>GÜLÜZAR SÜNBÜL</t>
  </si>
  <si>
    <t xml:space="preserve">engin cebeci kart </t>
  </si>
  <si>
    <t>34CZH735</t>
  </si>
  <si>
    <t>HM058570</t>
  </si>
  <si>
    <t>ALLIANZ SİGORTA ETTİREN PINAR KİŞİOĞLU ÇATAK TCKN 15469011726</t>
  </si>
  <si>
    <t xml:space="preserve">İRFAN BÖCEK </t>
  </si>
  <si>
    <t>ŞİRKET 111478662 / DASK 81719722</t>
  </si>
  <si>
    <t xml:space="preserve">ADRES KODU 1099657262  / 65 METREKARE </t>
  </si>
  <si>
    <t>5440 7806 1236 0010   04/25  358   05.09.1992</t>
  </si>
  <si>
    <t>34DDM775</t>
  </si>
  <si>
    <t>HM427396</t>
  </si>
  <si>
    <t>54FN567</t>
  </si>
  <si>
    <t>TOPAÇ DEMİR ÇELİK</t>
  </si>
  <si>
    <t>54TP776</t>
  </si>
  <si>
    <t>HK835888</t>
  </si>
  <si>
    <t>SAPANCA ŞUBE PORTFÖY EŞİ</t>
  </si>
  <si>
    <t>HASAN SÜNBÜL</t>
  </si>
  <si>
    <t>54AGM001</t>
  </si>
  <si>
    <t>HK498270</t>
  </si>
  <si>
    <t>ERAY YILDIZ</t>
  </si>
  <si>
    <t>54PR340</t>
  </si>
  <si>
    <t>BİZİM KARTTAN ÇEKİLDİ onur arkadaş</t>
  </si>
  <si>
    <t xml:space="preserve">iptal </t>
  </si>
  <si>
    <t>HM058671</t>
  </si>
  <si>
    <t>TEHLİKELİ MADDE</t>
  </si>
  <si>
    <t>BİZİM KARTTAN ÇEKİLDİ</t>
  </si>
  <si>
    <t xml:space="preserve">TRAFİK /KASKO </t>
  </si>
  <si>
    <t>54BJ009</t>
  </si>
  <si>
    <t>HA 423652 İSMAİL YÖNLENDİRDİ 14.12.1985</t>
  </si>
  <si>
    <t>FARUK COŞKUN KART ÇEKİLDİ 5407 0969 8001 7012 08/28  201</t>
  </si>
  <si>
    <t>06EYY014</t>
  </si>
  <si>
    <t>HL963884</t>
  </si>
  <si>
    <t>HG 448367 01.03.1962</t>
  </si>
  <si>
    <t>TEKLİF311000377337979</t>
  </si>
  <si>
    <t>54BB606</t>
  </si>
  <si>
    <t xml:space="preserve">SAFFETİN YÜKSEL </t>
  </si>
  <si>
    <t>HA 747525</t>
  </si>
  <si>
    <t>GÜL MENTEŞE</t>
  </si>
  <si>
    <t>11 AAU 629</t>
  </si>
  <si>
    <t>11AAU629</t>
  </si>
  <si>
    <t>ERDOĞAN ABİ TANIDIK 01.05.1975</t>
  </si>
  <si>
    <t xml:space="preserve">ERDOĞAN ABİ TANIDIK ONUN KARTINDAN ÇEKİLDİ  01.05.1975 </t>
  </si>
  <si>
    <t>EL 183543</t>
  </si>
  <si>
    <t xml:space="preserve">
2851951</t>
  </si>
  <si>
    <t>54 00240061</t>
  </si>
  <si>
    <t>34 002218007</t>
  </si>
  <si>
    <t>VİZYON SİGORTA FİLO İŞ MAKİNESİ</t>
  </si>
  <si>
    <t>VİZYON SİGORTA % KOMİSYON ***%50</t>
  </si>
  <si>
    <t>GZ 489407</t>
  </si>
  <si>
    <t>HL 008756</t>
  </si>
  <si>
    <t>GZ 489409</t>
  </si>
  <si>
    <t>GN029661</t>
  </si>
  <si>
    <t>dask 41016340/şirket 112920296</t>
  </si>
  <si>
    <t>5101 5215 1752 3579   01/26  118 MERVE ZAİM  05.04.1990</t>
  </si>
  <si>
    <t>5549605489341027    03/26   754   15.08.1988</t>
  </si>
  <si>
    <t>DASK 14443378 / ŞİRKET 113224182</t>
  </si>
  <si>
    <t>GZ 828750</t>
  </si>
  <si>
    <t>SANDIKÇILAR</t>
  </si>
  <si>
    <t>54AKD037</t>
  </si>
  <si>
    <t>5521010105703159   12/32 677</t>
  </si>
  <si>
    <t>HI273274</t>
  </si>
  <si>
    <t>ONURU aramışlar tanıdık değil 18.08.1999</t>
  </si>
  <si>
    <t>2 YIL KOMİSYON YOK</t>
  </si>
  <si>
    <t>GJ 109378</t>
  </si>
  <si>
    <t>GJ 109380</t>
  </si>
  <si>
    <t>GJ 109379</t>
  </si>
  <si>
    <t>GJ 109654</t>
  </si>
  <si>
    <t>GJ 109381</t>
  </si>
  <si>
    <t>GJ 109656</t>
  </si>
  <si>
    <t>GJ 109655</t>
  </si>
  <si>
    <t>FY 700428</t>
  </si>
  <si>
    <t>FY 700470</t>
  </si>
  <si>
    <t>FY 700558</t>
  </si>
  <si>
    <t>FY 700429</t>
  </si>
  <si>
    <t>FY 700469</t>
  </si>
  <si>
    <t>FY700473</t>
  </si>
  <si>
    <t>VİZYON SİGORTA</t>
  </si>
  <si>
    <t>VEFA</t>
  </si>
  <si>
    <t xml:space="preserve">MERVE ÇEBİ </t>
  </si>
  <si>
    <t>ONUR yönlendirdi TALİP  vahit akpek minimalist karttından ödendi</t>
  </si>
  <si>
    <t>ŞİRKET POL 113664339/  DASK POL 82169225</t>
  </si>
  <si>
    <t xml:space="preserve">MERVE ZAİM </t>
  </si>
  <si>
    <t xml:space="preserve">İBRAHİM AKYOL </t>
  </si>
  <si>
    <t>AV MAHMUT BEY değer kaybı arkadaşı 5457153354</t>
  </si>
  <si>
    <t>54AGL017</t>
  </si>
  <si>
    <t>HB 990474</t>
  </si>
  <si>
    <t>CT 372072</t>
  </si>
  <si>
    <t>FY700722</t>
  </si>
  <si>
    <t>FY700842</t>
  </si>
  <si>
    <t>9807 TRAMER</t>
  </si>
  <si>
    <t>8826 TRAMER</t>
  </si>
  <si>
    <t>19560 TRAMER</t>
  </si>
  <si>
    <t>kesemedik 10.10.1985</t>
  </si>
  <si>
    <t>54AEM814</t>
  </si>
  <si>
    <t>FY 700722</t>
  </si>
  <si>
    <t>34UM9757</t>
  </si>
  <si>
    <t>77768038 /Şirket 113900867</t>
  </si>
  <si>
    <t>77768154/Şirket 113902030</t>
  </si>
  <si>
    <t>77768792 /Şirket 113903212</t>
  </si>
  <si>
    <t>77768339 /Şirket 113902429</t>
  </si>
  <si>
    <t>OUICK</t>
  </si>
  <si>
    <t xml:space="preserve">HAYAT SİGORTASI </t>
  </si>
  <si>
    <t>HR 259072</t>
  </si>
  <si>
    <t>54 TS 188</t>
  </si>
  <si>
    <t>CT372072</t>
  </si>
  <si>
    <t xml:space="preserve">/ DASK 72318013  / ŞİRKET 93119598 </t>
  </si>
  <si>
    <t>/ DASK 72318013  / ŞİRKET 114214483</t>
  </si>
  <si>
    <t xml:space="preserve">HACI ÖMER SEYHAN </t>
  </si>
  <si>
    <t>MÜGE BETÜL BIYIK</t>
  </si>
  <si>
    <t>34NL0266</t>
  </si>
  <si>
    <t>05.06.1991 ANADOLU HAYATÇI ELİF yönlendirdi</t>
  </si>
  <si>
    <t>GZ442221</t>
  </si>
  <si>
    <t>DASK 82342689/Şirket 114450924</t>
  </si>
  <si>
    <t>DASK 77763750 /Şirket 95235328</t>
  </si>
  <si>
    <t>ERGÜN ARI</t>
  </si>
  <si>
    <t>54AFB784</t>
  </si>
  <si>
    <t>HB567574</t>
  </si>
  <si>
    <t>TURGAY ABİ TANIDIK 04.05.1971</t>
  </si>
  <si>
    <t>MEHMET ALİ ÇELİKTEN</t>
  </si>
  <si>
    <t>dask 82402807/Şirket 114711690</t>
  </si>
  <si>
    <t>HÜLYA HOCA EV PLATES</t>
  </si>
  <si>
    <t>54ALN766</t>
  </si>
  <si>
    <t>54SE284</t>
  </si>
  <si>
    <t>KURTKÖY SPOR KULUBÜ</t>
  </si>
  <si>
    <t>GD405436</t>
  </si>
  <si>
    <t>HO757785</t>
  </si>
  <si>
    <t xml:space="preserve">
114943881</t>
  </si>
  <si>
    <t>34CPY 600</t>
  </si>
  <si>
    <t>TUĞÇE ŞAHİN</t>
  </si>
  <si>
    <t>HEKİM SORUMLULUK</t>
  </si>
  <si>
    <t>anesteziyoloji ve reanimazyon / Dip no: 171658 /mezuniyet 2014/ yıllık hasta 500( tescil türü 1 / tescil no: 171658 / tescil tarihi 14.07.2014 / asistan mı hayır</t>
  </si>
  <si>
    <t>ERDAL YILDIRIM</t>
  </si>
  <si>
    <t>5200 1701 9310 2017  02/29  614</t>
  </si>
  <si>
    <t>5400 6370 1238 3778  11/26  684</t>
  </si>
  <si>
    <t>BS 647122</t>
  </si>
  <si>
    <t>KOMSİYON ORANI%25</t>
  </si>
  <si>
    <t>115976148ŞİRKET /DASK 23663866</t>
  </si>
  <si>
    <t>HAYRETTİN 17.12.1986</t>
  </si>
  <si>
    <t>116037937 ŞİRKET /DASK  58496784</t>
  </si>
  <si>
    <t>116058666/ DASK 72612262</t>
  </si>
  <si>
    <t>116059668 / DASK 72612205</t>
  </si>
  <si>
    <t>116058895 / dask 72612233</t>
  </si>
  <si>
    <t>AYŞE TETİK</t>
  </si>
  <si>
    <t>54 ES 303</t>
  </si>
  <si>
    <t>EJ 118905</t>
  </si>
  <si>
    <t>EUREKO EKRANDAN</t>
  </si>
  <si>
    <t>ONURUN ARACI</t>
  </si>
  <si>
    <t>AMİR FARZBOO</t>
  </si>
  <si>
    <t>34FYA260</t>
  </si>
  <si>
    <t>GH398501</t>
  </si>
  <si>
    <t>HR699490</t>
  </si>
  <si>
    <t>ABDULLAH EMİR ÖZTAYFUN</t>
  </si>
  <si>
    <t>34EMR909</t>
  </si>
  <si>
    <t>FR129750</t>
  </si>
  <si>
    <t xml:space="preserve">MEHMET ÖZCAN </t>
  </si>
  <si>
    <t>54AIH733</t>
  </si>
  <si>
    <t>ATAKAN NOTER</t>
  </si>
  <si>
    <t>GJ111385</t>
  </si>
  <si>
    <t xml:space="preserve">bizim kart ile kesildi </t>
  </si>
  <si>
    <t>34VPT77</t>
  </si>
  <si>
    <t>HS436838</t>
  </si>
  <si>
    <t xml:space="preserve">EMEL İPEK </t>
  </si>
  <si>
    <t xml:space="preserve">GARANTİ EMEKLİLİK </t>
  </si>
  <si>
    <t>54ALU462</t>
  </si>
  <si>
    <t>HS249053</t>
  </si>
  <si>
    <t>34KHH384</t>
  </si>
  <si>
    <t>HF601296</t>
  </si>
  <si>
    <t>BELGE SERİ NO</t>
  </si>
  <si>
    <t>ÖZLEM TOPÇU</t>
  </si>
  <si>
    <t>54ABK017</t>
  </si>
  <si>
    <t>EL645520</t>
  </si>
  <si>
    <t xml:space="preserve"> </t>
  </si>
  <si>
    <t xml:space="preserve">5333109627 serap güven </t>
  </si>
  <si>
    <t>eureko</t>
  </si>
  <si>
    <t>nippon</t>
  </si>
  <si>
    <t>MERVE KAİME</t>
  </si>
  <si>
    <t>54SB600</t>
  </si>
  <si>
    <t>HA 022405</t>
  </si>
  <si>
    <t>EZ 553396</t>
  </si>
  <si>
    <t>54BS586</t>
  </si>
  <si>
    <t>HP005921</t>
  </si>
  <si>
    <t xml:space="preserve">TÜRKİYE </t>
  </si>
  <si>
    <t>TÜRKİYE</t>
  </si>
  <si>
    <t>1.62 / 54  01.03.1986</t>
  </si>
  <si>
    <t>4013 0862 0691 7031  11/26 856   /21.07.1953</t>
  </si>
  <si>
    <t>BARIŞ ÇETİN</t>
  </si>
  <si>
    <t>5203 0300 4344 9009  08/26  640   08.10.1987</t>
  </si>
  <si>
    <t xml:space="preserve">TÜRKİYE SİGORTA </t>
  </si>
  <si>
    <t>5269 1101 1905 6895 10/2029  824   24.06.1987</t>
  </si>
  <si>
    <t>SERAP GÜVEN ÇELİK</t>
  </si>
  <si>
    <t>FURKAN SÜNBÜL</t>
  </si>
  <si>
    <t>54TF898</t>
  </si>
  <si>
    <t>GT718421</t>
  </si>
  <si>
    <t>08.03.1988 /43696599236 ELA ŞENTÜRK 07.12. 2017 İSMAİL ŞENTÜRK KART ÇEKİLDİ</t>
  </si>
  <si>
    <t>ENSAR BEY TELEFON 27.07.1993</t>
  </si>
  <si>
    <t>ensar bey 5549 6077 6810 9265   03.26 916   tckn 50530491052  27.07.1993</t>
  </si>
  <si>
    <t>HT064360</t>
  </si>
  <si>
    <t>HT064361</t>
  </si>
  <si>
    <t>54 ALZ 233</t>
  </si>
  <si>
    <t>HT064362</t>
  </si>
  <si>
    <t>TÜRKİYE SİGORTA FİLO VİZYON</t>
  </si>
  <si>
    <t>54 ALZ 220</t>
  </si>
  <si>
    <t>54 ALZ 223</t>
  </si>
  <si>
    <t>54ALZ242</t>
  </si>
  <si>
    <t xml:space="preserve"> 54 ALZ243</t>
  </si>
  <si>
    <t xml:space="preserve"> 54 ALZ220</t>
  </si>
  <si>
    <t>54 ALZ233</t>
  </si>
  <si>
    <t>54 ALZ223</t>
  </si>
  <si>
    <t>54ALZ241</t>
  </si>
  <si>
    <t>HT064363</t>
  </si>
  <si>
    <t>HT064358</t>
  </si>
  <si>
    <t>HT064359</t>
  </si>
  <si>
    <t>20.01.1986 SERAP HANIM yönlendirdi</t>
  </si>
  <si>
    <t>AHMET TURAN EROL</t>
  </si>
  <si>
    <t>41 R2279</t>
  </si>
  <si>
    <t>GI 736594</t>
  </si>
  <si>
    <t>tel kapalı</t>
  </si>
  <si>
    <t xml:space="preserve">MERVE BAŞARAN </t>
  </si>
  <si>
    <t>54 ANA 310</t>
  </si>
  <si>
    <t>HT064594</t>
  </si>
  <si>
    <t>HT064593</t>
  </si>
  <si>
    <t>54 ANA 309</t>
  </si>
  <si>
    <t>34 GS 1571</t>
  </si>
  <si>
    <t>HS 172147</t>
  </si>
  <si>
    <t>54 ANA 324</t>
  </si>
  <si>
    <t>54 ANA 325</t>
  </si>
  <si>
    <t>HU076017</t>
  </si>
  <si>
    <t>HT 064592</t>
  </si>
  <si>
    <t>HT 064591</t>
  </si>
  <si>
    <t>ESİN EMİNE HEKİM</t>
  </si>
  <si>
    <t>DASK 67708920/ŞİRKET 1174492925</t>
  </si>
  <si>
    <t>54AHA036</t>
  </si>
  <si>
    <t>54AHA041</t>
  </si>
  <si>
    <t>54AHA044</t>
  </si>
  <si>
    <t>AMIR FARZBOOD</t>
  </si>
  <si>
    <t>DASK POL 83337507/ ŞİRKET 202000000513427</t>
  </si>
  <si>
    <t>EUREKO banka</t>
  </si>
  <si>
    <t>GO 260900</t>
  </si>
  <si>
    <t>54FT153</t>
  </si>
  <si>
    <t>54 FT 153</t>
  </si>
  <si>
    <t>HU 076850</t>
  </si>
  <si>
    <t>54 AHU 107</t>
  </si>
  <si>
    <t>54 ALA 113</t>
  </si>
  <si>
    <t>LALE ALAŞAHİN ÖZKURT</t>
  </si>
  <si>
    <t>HL 044481</t>
  </si>
  <si>
    <t>EL 202280</t>
  </si>
  <si>
    <t>202000000579518 /DASK POL. 78986628</t>
  </si>
  <si>
    <t>ŞİRKET 202000000581137 / DASK POLİÇE 63901524</t>
  </si>
  <si>
    <t>KADİR EMRE ÇAKAR</t>
  </si>
  <si>
    <t xml:space="preserve">ÖMER ŞAHİN KUZEN </t>
  </si>
  <si>
    <t>ÇAĞATAY ZAİM</t>
  </si>
  <si>
    <t>54ALE179</t>
  </si>
  <si>
    <t>54 ALE 179</t>
  </si>
  <si>
    <t>HU868121</t>
  </si>
  <si>
    <t>GZ488116</t>
  </si>
  <si>
    <t xml:space="preserve">fikri deregözü ev </t>
  </si>
  <si>
    <t>202000000601795/ DASK pol 79155067</t>
  </si>
  <si>
    <t>16KEP06</t>
  </si>
  <si>
    <t>GJ509551</t>
  </si>
  <si>
    <t>EDA ALEM</t>
  </si>
  <si>
    <t>34SAM71</t>
  </si>
  <si>
    <t>GV742186</t>
  </si>
  <si>
    <t>SADET ÖZTÜRK</t>
  </si>
  <si>
    <t>54 AP 837</t>
  </si>
  <si>
    <t>BH 989383</t>
  </si>
  <si>
    <t>SİBEL TANIDIK 10.03.1977</t>
  </si>
  <si>
    <t xml:space="preserve">4743 4010 9158 1409  11/32  348  19.09.1985 hayrettin eşi FİRUZAN arkadaşı </t>
  </si>
  <si>
    <t>AYNUR ÖZTÜRK TCKN 40255439170 ONUN KARTINDAN ÇEKİLDİ</t>
  </si>
  <si>
    <t xml:space="preserve">ÇAĞATAY  32249098692 / 30.10.1988 - ÇAĞAN 40013233668 /08.06.2018  </t>
  </si>
  <si>
    <t>54 ANG 904</t>
  </si>
  <si>
    <t>54 ANG 920</t>
  </si>
  <si>
    <t>54 ANG 921</t>
  </si>
  <si>
    <t>54 ANG 922</t>
  </si>
  <si>
    <t>54 ANG 912</t>
  </si>
  <si>
    <t>HY 131269</t>
  </si>
  <si>
    <t>HY 131267</t>
  </si>
  <si>
    <t>HY 131268</t>
  </si>
  <si>
    <t>HY 131271</t>
  </si>
  <si>
    <t>HY 131270</t>
  </si>
  <si>
    <t xml:space="preserve">FATİH ÇELİK </t>
  </si>
  <si>
    <t>NAKİT ÖDEME YAPILIYOR HER AY KONTROL ET</t>
  </si>
  <si>
    <t xml:space="preserve">FIRAT BÖCEK </t>
  </si>
  <si>
    <t>34ZH2228</t>
  </si>
  <si>
    <t>ED479015</t>
  </si>
  <si>
    <t>serap Güven ilgileniyor ona at</t>
  </si>
  <si>
    <t xml:space="preserve">EMRE YÜKSEL </t>
  </si>
  <si>
    <t>34HLJ643</t>
  </si>
  <si>
    <t>HY 411016</t>
  </si>
  <si>
    <t>54YV066</t>
  </si>
  <si>
    <t>şirket pol no 847249289/dask poliçe 59473497</t>
  </si>
  <si>
    <t>54HS368</t>
  </si>
  <si>
    <t>HY 458211</t>
  </si>
  <si>
    <t>54YK</t>
  </si>
  <si>
    <t>GLOBAL HEDEF</t>
  </si>
  <si>
    <t>ŞİRKET</t>
  </si>
  <si>
    <t>KAPI MÜŞTERİSİ</t>
  </si>
  <si>
    <t>DASK POL 84013928/ ŞİRKET 850075170</t>
  </si>
  <si>
    <t>MÜRTEZA KÖKER</t>
  </si>
  <si>
    <t>HY139190</t>
  </si>
  <si>
    <t>54AKA278</t>
  </si>
  <si>
    <t>15.10.1960 fıratın dayısı</t>
  </si>
  <si>
    <t>20.06.1980 internetten bulmuş uzman çavuş emaa sigortadan yaptırdı</t>
  </si>
  <si>
    <t>62614088386 - 10.07.2020 /   56719025926 -11.02.2014 / serap hanım 07.02.1982  / eşi Uğur bey 41386612326 08.02.1981</t>
  </si>
  <si>
    <t>GR675824</t>
  </si>
  <si>
    <t>54AIH473</t>
  </si>
  <si>
    <t>TÜRKİYE SİGORTA VİZYON</t>
  </si>
  <si>
    <t>TÜRKİYE SİGORTA VEFA</t>
  </si>
  <si>
    <t>TÜRKİYE VEFA</t>
  </si>
  <si>
    <t>yılgenci sinan müşterisi 12.06.1958</t>
  </si>
  <si>
    <t>39138768 DASK POL NO / ŞİRKET 854002292</t>
  </si>
  <si>
    <t>MELİH AKIN</t>
  </si>
  <si>
    <t>BEKLAN EŞİ 14.02.1972</t>
  </si>
  <si>
    <t>54ACM478</t>
  </si>
  <si>
    <t>HE758614</t>
  </si>
  <si>
    <t>FİLİZ ESVET NUR</t>
  </si>
  <si>
    <t>15.02.1988 Fırat Böcek yönlendirdi</t>
  </si>
  <si>
    <t>GP676934</t>
  </si>
  <si>
    <t>54EN946</t>
  </si>
  <si>
    <t>DASK POLİÇE 79614903/ŞİRKET202000000766234</t>
  </si>
  <si>
    <t>hayrettin çalışanı 10.05.1947</t>
  </si>
  <si>
    <t>DASK 84386196 /ŞİRKET 858224157</t>
  </si>
  <si>
    <t>HF 535588</t>
  </si>
  <si>
    <t>HAMİ ABİ kızının aracı 01.05.1963</t>
  </si>
  <si>
    <t>DURNA SAVUNMA SANAYİ</t>
  </si>
  <si>
    <t>34DRN630</t>
  </si>
  <si>
    <t>HJ 501295</t>
  </si>
  <si>
    <t>İNTERNETTEN BULMUŞ</t>
  </si>
  <si>
    <t>HO275824</t>
  </si>
  <si>
    <t>HAYRETTİN ŞAHSİ KART 5289 3954 1280 1016  01/26  674  05.09.1989</t>
  </si>
  <si>
    <t>54 ANU015</t>
  </si>
  <si>
    <t>IA 580676</t>
  </si>
  <si>
    <t>54 ANU 018</t>
  </si>
  <si>
    <t>IA 580675</t>
  </si>
  <si>
    <t>IA 580674</t>
  </si>
  <si>
    <t>54 ANU 016</t>
  </si>
  <si>
    <t>KORU TEKLİF</t>
  </si>
  <si>
    <t>54ES303</t>
  </si>
  <si>
    <t>HV 597532</t>
  </si>
  <si>
    <t>54BM084</t>
  </si>
  <si>
    <t>DERYA GÜLTEKİN</t>
  </si>
  <si>
    <t>DAMLA GENCAY TEL 05319385233</t>
  </si>
  <si>
    <t>81AZ301</t>
  </si>
  <si>
    <t>HI836654</t>
  </si>
  <si>
    <t>ERKAN ALKIŞ</t>
  </si>
  <si>
    <t>DAMLA GENCAY KARTINDAN ÇEKİLDİ  5548 4701 7617 5868  06/27  102    21.06.1985</t>
  </si>
  <si>
    <t>ÖZKAN ARKADAŞ 01.01.1985</t>
  </si>
  <si>
    <t>54AC138</t>
  </si>
  <si>
    <t xml:space="preserve">54 ANY 178 </t>
  </si>
  <si>
    <t>FATMA ATAŞ</t>
  </si>
  <si>
    <t>77BP100</t>
  </si>
  <si>
    <t>DE764369</t>
  </si>
  <si>
    <t>ERDOĞAN ABİ 08.12.1970</t>
  </si>
  <si>
    <t>54ADJ550</t>
  </si>
  <si>
    <t>SERDAR TUFAN</t>
  </si>
  <si>
    <t>FC982338</t>
  </si>
  <si>
    <t>ÖZKAN ARKADAŞ 28.08.1988</t>
  </si>
  <si>
    <t xml:space="preserve">EMİNE ERDEM </t>
  </si>
  <si>
    <t>DASK POLİÇE 84927713 / ŞİRKET 202000000882983</t>
  </si>
  <si>
    <t xml:space="preserve">ANKARA PSİKOTERAPİ PSİKOLOJİK </t>
  </si>
  <si>
    <t>555 410 6417  CENK ADIGÜZEL</t>
  </si>
  <si>
    <t>06DYZ090</t>
  </si>
  <si>
    <t>HK159277</t>
  </si>
  <si>
    <t>ONUR yönlendirdi 09.10.2017</t>
  </si>
  <si>
    <t>54ZV790</t>
  </si>
  <si>
    <t>-627,68 ₺</t>
  </si>
  <si>
    <t>-188,30 ₺</t>
  </si>
  <si>
    <t>-1.552,68 ₺</t>
  </si>
  <si>
    <t>-465,80 ₺</t>
  </si>
  <si>
    <t>-1.201,47 ₺</t>
  </si>
  <si>
    <t>-360,44 ₺</t>
  </si>
  <si>
    <t>-895,82 ₺</t>
  </si>
  <si>
    <t>-268,75 ₺</t>
  </si>
  <si>
    <t>54 AOA047</t>
  </si>
  <si>
    <t>IA074594</t>
  </si>
  <si>
    <t>54HB993</t>
  </si>
  <si>
    <t>HZ 429839</t>
  </si>
  <si>
    <t>34HF3508</t>
  </si>
  <si>
    <t>IA 369269</t>
  </si>
  <si>
    <t>REHİME BÜŞRA NUR SÜNBÜL</t>
  </si>
  <si>
    <t>34JN991</t>
  </si>
  <si>
    <t>kk mail order</t>
  </si>
  <si>
    <t>IC020185</t>
  </si>
  <si>
    <t>KARTTEN TEK ÇEKİM YAPILDI</t>
  </si>
  <si>
    <t xml:space="preserve">SONGÜL ÇAKMAK </t>
  </si>
  <si>
    <t>34CUU26</t>
  </si>
  <si>
    <t xml:space="preserve">03.01.2000 / FETHİ ABİ KARASU PERSONEL </t>
  </si>
  <si>
    <t>202000000988606 / DASK POLİÇE 56172345</t>
  </si>
  <si>
    <t>202000001008773 /dask poliçe 80623363</t>
  </si>
  <si>
    <t>06TBD65</t>
  </si>
  <si>
    <t>IB035995</t>
  </si>
  <si>
    <t xml:space="preserve">
881367374</t>
  </si>
  <si>
    <t xml:space="preserve">DASK POLİÇE 56504187/ </t>
  </si>
  <si>
    <t>BURCU ERYILMAZ ÇETİN</t>
  </si>
  <si>
    <t>15.01.1981  volkan arkadaşı kuzen</t>
  </si>
  <si>
    <t>ES314661</t>
  </si>
  <si>
    <t>AYTEN ECİN</t>
  </si>
  <si>
    <t>54AE772</t>
  </si>
  <si>
    <t>23.11.1964    9792 2904 2840 4057 / 09-29 / 487</t>
  </si>
  <si>
    <t>HÜSEYİN ÇAKMAK</t>
  </si>
  <si>
    <t>54AKY308</t>
  </si>
  <si>
    <t>IB941132</t>
  </si>
  <si>
    <t>23.02.1965  Songül çakmak babası FETHİ ABİ KARASU ŞUBE</t>
  </si>
  <si>
    <t>RASİME EBİLOĞLU</t>
  </si>
  <si>
    <t>ÖMER ŞAHİN KAYINA-VALİDE 05.06.1966</t>
  </si>
  <si>
    <t>54AKU903</t>
  </si>
  <si>
    <t>HK848064</t>
  </si>
  <si>
    <t xml:space="preserve">SANDIKÇILAR </t>
  </si>
  <si>
    <t>HR699727</t>
  </si>
  <si>
    <t>893951404 / DASK POLİÇE NO 23037338</t>
  </si>
  <si>
    <t>54EV857</t>
  </si>
  <si>
    <t>20ADL656</t>
  </si>
  <si>
    <t>FC687208</t>
  </si>
  <si>
    <t>17.08.1978  Whats app yazdı</t>
  </si>
  <si>
    <t xml:space="preserve">MEHMET NURİ ŞENGÜL </t>
  </si>
  <si>
    <t>314682880/1</t>
  </si>
  <si>
    <t>BUZAKHRO KHOLMATOVA</t>
  </si>
  <si>
    <t>FA3532854</t>
  </si>
  <si>
    <t>YABANCI SAĞLIK</t>
  </si>
  <si>
    <t xml:space="preserve">02.05.1993  BABA UMARJON / anne fotıma </t>
  </si>
  <si>
    <t xml:space="preserve">ENVER NADİR ÇOŞAR </t>
  </si>
  <si>
    <t>54FD811</t>
  </si>
  <si>
    <t>IB461401</t>
  </si>
  <si>
    <t xml:space="preserve">İBRAHİM KAPLAN </t>
  </si>
  <si>
    <t>EV132129</t>
  </si>
  <si>
    <t>34PF2332</t>
  </si>
  <si>
    <t xml:space="preserve"> 01.05.1946 SENEM KAYNI</t>
  </si>
  <si>
    <t>SALİM KALE</t>
  </si>
  <si>
    <t xml:space="preserve">5464645051 selimcan bey </t>
  </si>
  <si>
    <t>54SB574</t>
  </si>
  <si>
    <t>CN5401518</t>
  </si>
  <si>
    <t xml:space="preserve">MİRALAY MADENCİLİK  </t>
  </si>
  <si>
    <t>DASK 44458259/ŞİRKET 202000001125212</t>
  </si>
  <si>
    <t xml:space="preserve">54 AFR 990 </t>
  </si>
  <si>
    <t xml:space="preserve"> 28.01.1960 EMEKLİ bizim karttan çekildi </t>
  </si>
  <si>
    <t>TALHA TANER</t>
  </si>
  <si>
    <t>54SC821</t>
  </si>
  <si>
    <t>IC944830</t>
  </si>
  <si>
    <t>ID 912146</t>
  </si>
  <si>
    <t>YİĞİT BURAK HEKİM</t>
  </si>
  <si>
    <t>ESİN hanım oğlu 26.08.2003</t>
  </si>
  <si>
    <t>45 ARAÇ</t>
  </si>
  <si>
    <t>DOĞUM</t>
  </si>
  <si>
    <t>YABANCI KİMLİK NO99613829580 /PASAPORT NO Z97597516</t>
  </si>
  <si>
    <t>YABANCI KİMLİK NO 99613829580 /PASAPORT NO Z97597516</t>
  </si>
  <si>
    <t>FERDİ KAZA SİGORTASI</t>
  </si>
  <si>
    <t>RÖMORK</t>
  </si>
  <si>
    <t>satışçı</t>
  </si>
  <si>
    <t>Sigorta Şirketi</t>
  </si>
  <si>
    <t>GJ 109655 / 851847</t>
  </si>
  <si>
    <t>not</t>
  </si>
  <si>
    <t>"</t>
  </si>
  <si>
    <t>RECEP ÜNAL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</si>
</sst>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1"/>
      <name val="Calibri"/>
      <family val="2"/>
      <charset val="162"/>
      <scheme val="minor"/>
    </font>
    <font>
      <sz val="9"/>
      <color theme="1"/>
      <name val="Arial"/>
      <family val="2"/>
      <charset val="162"/>
    </font>
    <font>
      <sz val="9"/>
      <name val="Arial"/>
      <family val="2"/>
      <charset val="162"/>
    </font>
    <font>
      <b/>
      <sz val="9"/>
      <color rgb="FF2A2E80"/>
      <name val="Arial"/>
      <family val="2"/>
      <charset val="162"/>
    </font>
    <font>
      <sz val="9"/>
      <color rgb="FF000000"/>
      <name val="Arial"/>
      <family val="2"/>
      <charset val="162"/>
    </font>
    <font>
      <sz val="9"/>
      <color rgb="FFFF0000"/>
      <name val="Arial"/>
      <family val="2"/>
      <charset val="162"/>
    </font>
    <font>
      <sz val="9"/>
      <color rgb="FF1B1B1B"/>
      <name val="Arial"/>
      <family val="2"/>
      <charset val="162"/>
    </font>
    <font>
      <sz val="9"/>
      <color rgb="FF253342"/>
      <name val="Arial"/>
      <family val="2"/>
      <charset val="162"/>
    </font>
    <font>
      <sz val="9"/>
      <color rgb="FFEA4335"/>
      <name val="Arial"/>
      <family val="2"/>
      <charset val="162"/>
    </font>
    <font>
      <b/>
      <sz val="10"/>
      <color theme="0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9">
    <xf numFmtId="0" fontId="0" fillId="0" borderId="0"/>
    <xf numFmtId="0" fontId="4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0" fontId="6" fillId="0" borderId="0"/>
  </cellStyleXfs>
  <cellXfs count="215">
    <xf numFmtId="0" fontId="0" fillId="0" borderId="0" xfId="0"/>
    <xf numFmtId="0" fontId="0" fillId="0" borderId="1" xfId="0" applyBorder="1"/>
    <xf numFmtId="0" fontId="2" fillId="4" borderId="1" xfId="0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vertical="center"/>
    </xf>
    <xf numFmtId="164" fontId="0" fillId="0" borderId="1" xfId="2" applyNumberFormat="1" applyFont="1" applyBorder="1"/>
    <xf numFmtId="9" fontId="0" fillId="0" borderId="1" xfId="3" applyFont="1" applyBorder="1"/>
    <xf numFmtId="3" fontId="0" fillId="0" borderId="1" xfId="0" applyNumberFormat="1" applyBorder="1"/>
    <xf numFmtId="0" fontId="7" fillId="0" borderId="1" xfId="0" applyFont="1" applyBorder="1" applyAlignment="1">
      <alignment horizontal="center" vertical="center"/>
    </xf>
    <xf numFmtId="15" fontId="0" fillId="0" borderId="1" xfId="0" applyNumberFormat="1" applyBorder="1"/>
    <xf numFmtId="4" fontId="0" fillId="0" borderId="1" xfId="0" applyNumberFormat="1" applyBorder="1"/>
    <xf numFmtId="9" fontId="0" fillId="0" borderId="1" xfId="0" applyNumberFormat="1" applyBorder="1"/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right" wrapText="1"/>
    </xf>
    <xf numFmtId="1" fontId="8" fillId="2" borderId="1" xfId="0" applyNumberFormat="1" applyFont="1" applyFill="1" applyBorder="1" applyAlignment="1">
      <alignment wrapText="1"/>
    </xf>
    <xf numFmtId="0" fontId="8" fillId="2" borderId="1" xfId="0" applyFont="1" applyFill="1" applyBorder="1" applyAlignment="1">
      <alignment horizontal="center" wrapText="1"/>
    </xf>
    <xf numFmtId="14" fontId="8" fillId="2" borderId="1" xfId="0" applyNumberFormat="1" applyFont="1" applyFill="1" applyBorder="1" applyAlignment="1">
      <alignment horizontal="right" wrapText="1"/>
    </xf>
    <xf numFmtId="43" fontId="8" fillId="2" borderId="1" xfId="2" applyFont="1" applyFill="1" applyBorder="1" applyAlignment="1">
      <alignment horizontal="right" wrapText="1"/>
    </xf>
    <xf numFmtId="0" fontId="8" fillId="0" borderId="0" xfId="0" applyFont="1" applyAlignment="1">
      <alignment wrapText="1"/>
    </xf>
    <xf numFmtId="0" fontId="8" fillId="0" borderId="0" xfId="0" applyFont="1"/>
    <xf numFmtId="0" fontId="8" fillId="3" borderId="0" xfId="0" applyFont="1" applyFill="1"/>
    <xf numFmtId="0" fontId="8" fillId="3" borderId="1" xfId="0" applyFont="1" applyFill="1" applyBorder="1"/>
    <xf numFmtId="1" fontId="8" fillId="3" borderId="1" xfId="0" applyNumberFormat="1" applyFont="1" applyFill="1" applyBorder="1"/>
    <xf numFmtId="14" fontId="8" fillId="3" borderId="1" xfId="0" applyNumberFormat="1" applyFont="1" applyFill="1" applyBorder="1"/>
    <xf numFmtId="43" fontId="8" fillId="3" borderId="1" xfId="2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14" fontId="8" fillId="0" borderId="0" xfId="0" applyNumberFormat="1" applyFont="1"/>
    <xf numFmtId="0" fontId="8" fillId="2" borderId="0" xfId="0" applyFont="1" applyFill="1"/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right" wrapText="1"/>
    </xf>
    <xf numFmtId="1" fontId="8" fillId="3" borderId="1" xfId="0" applyNumberFormat="1" applyFont="1" applyFill="1" applyBorder="1" applyAlignment="1">
      <alignment wrapText="1"/>
    </xf>
    <xf numFmtId="14" fontId="8" fillId="3" borderId="1" xfId="0" applyNumberFormat="1" applyFont="1" applyFill="1" applyBorder="1" applyAlignment="1">
      <alignment horizontal="right" wrapText="1"/>
    </xf>
    <xf numFmtId="43" fontId="8" fillId="3" borderId="1" xfId="2" applyFont="1" applyFill="1" applyBorder="1" applyAlignment="1">
      <alignment horizontal="right" wrapText="1"/>
    </xf>
    <xf numFmtId="1" fontId="8" fillId="0" borderId="0" xfId="0" applyNumberFormat="1" applyFont="1"/>
    <xf numFmtId="0" fontId="9" fillId="3" borderId="1" xfId="0" applyFont="1" applyFill="1" applyBorder="1"/>
    <xf numFmtId="1" fontId="8" fillId="2" borderId="1" xfId="0" applyNumberFormat="1" applyFont="1" applyFill="1" applyBorder="1"/>
    <xf numFmtId="0" fontId="8" fillId="2" borderId="1" xfId="0" applyFont="1" applyFill="1" applyBorder="1"/>
    <xf numFmtId="14" fontId="8" fillId="2" borderId="1" xfId="0" applyNumberFormat="1" applyFont="1" applyFill="1" applyBorder="1"/>
    <xf numFmtId="0" fontId="8" fillId="6" borderId="1" xfId="0" applyFont="1" applyFill="1" applyBorder="1"/>
    <xf numFmtId="1" fontId="8" fillId="6" borderId="1" xfId="0" applyNumberFormat="1" applyFont="1" applyFill="1" applyBorder="1"/>
    <xf numFmtId="14" fontId="8" fillId="6" borderId="1" xfId="0" applyNumberFormat="1" applyFont="1" applyFill="1" applyBorder="1"/>
    <xf numFmtId="43" fontId="8" fillId="6" borderId="1" xfId="2" applyFont="1" applyFill="1" applyBorder="1"/>
    <xf numFmtId="43" fontId="8" fillId="2" borderId="1" xfId="2" applyFont="1" applyFill="1" applyBorder="1"/>
    <xf numFmtId="0" fontId="9" fillId="0" borderId="0" xfId="0" applyFont="1"/>
    <xf numFmtId="0" fontId="9" fillId="3" borderId="0" xfId="0" applyFont="1" applyFill="1"/>
    <xf numFmtId="0" fontId="8" fillId="0" borderId="1" xfId="0" applyFont="1" applyBorder="1"/>
    <xf numFmtId="1" fontId="8" fillId="0" borderId="1" xfId="0" applyNumberFormat="1" applyFont="1" applyBorder="1"/>
    <xf numFmtId="14" fontId="8" fillId="0" borderId="1" xfId="0" applyNumberFormat="1" applyFont="1" applyBorder="1"/>
    <xf numFmtId="43" fontId="8" fillId="0" borderId="1" xfId="2" applyFont="1" applyBorder="1"/>
    <xf numFmtId="14" fontId="8" fillId="2" borderId="0" xfId="0" applyNumberFormat="1" applyFont="1" applyFill="1"/>
    <xf numFmtId="0" fontId="9" fillId="5" borderId="0" xfId="0" applyFont="1" applyFill="1"/>
    <xf numFmtId="43" fontId="8" fillId="3" borderId="1" xfId="2" applyFont="1" applyFill="1" applyBorder="1"/>
    <xf numFmtId="0" fontId="10" fillId="3" borderId="1" xfId="0" applyFont="1" applyFill="1" applyBorder="1"/>
    <xf numFmtId="4" fontId="8" fillId="3" borderId="0" xfId="0" applyNumberFormat="1" applyFont="1" applyFill="1"/>
    <xf numFmtId="0" fontId="11" fillId="2" borderId="1" xfId="0" applyFont="1" applyFill="1" applyBorder="1"/>
    <xf numFmtId="0" fontId="12" fillId="8" borderId="1" xfId="0" applyFont="1" applyFill="1" applyBorder="1"/>
    <xf numFmtId="1" fontId="12" fillId="8" borderId="1" xfId="0" applyNumberFormat="1" applyFont="1" applyFill="1" applyBorder="1"/>
    <xf numFmtId="14" fontId="12" fillId="8" borderId="1" xfId="0" applyNumberFormat="1" applyFont="1" applyFill="1" applyBorder="1"/>
    <xf numFmtId="43" fontId="12" fillId="8" borderId="1" xfId="2" applyFont="1" applyFill="1" applyBorder="1"/>
    <xf numFmtId="0" fontId="12" fillId="8" borderId="0" xfId="0" applyFont="1" applyFill="1"/>
    <xf numFmtId="1" fontId="12" fillId="8" borderId="1" xfId="0" applyNumberFormat="1" applyFont="1" applyFill="1" applyBorder="1" applyAlignment="1">
      <alignment horizontal="right"/>
    </xf>
    <xf numFmtId="2" fontId="8" fillId="2" borderId="1" xfId="0" applyNumberFormat="1" applyFont="1" applyFill="1" applyBorder="1"/>
    <xf numFmtId="4" fontId="8" fillId="2" borderId="1" xfId="0" applyNumberFormat="1" applyFont="1" applyFill="1" applyBorder="1"/>
    <xf numFmtId="0" fontId="8" fillId="5" borderId="0" xfId="0" applyFont="1" applyFill="1"/>
    <xf numFmtId="0" fontId="9" fillId="2" borderId="1" xfId="0" applyFont="1" applyFill="1" applyBorder="1"/>
    <xf numFmtId="2" fontId="8" fillId="3" borderId="1" xfId="0" applyNumberFormat="1" applyFont="1" applyFill="1" applyBorder="1"/>
    <xf numFmtId="1" fontId="9" fillId="2" borderId="1" xfId="0" applyNumberFormat="1" applyFont="1" applyFill="1" applyBorder="1"/>
    <xf numFmtId="14" fontId="9" fillId="2" borderId="1" xfId="0" applyNumberFormat="1" applyFont="1" applyFill="1" applyBorder="1"/>
    <xf numFmtId="43" fontId="9" fillId="2" borderId="1" xfId="2" applyFont="1" applyFill="1" applyBorder="1"/>
    <xf numFmtId="0" fontId="9" fillId="2" borderId="0" xfId="0" applyFont="1" applyFill="1"/>
    <xf numFmtId="4" fontId="8" fillId="0" borderId="1" xfId="0" applyNumberFormat="1" applyFont="1" applyBorder="1"/>
    <xf numFmtId="0" fontId="9" fillId="6" borderId="1" xfId="0" applyFont="1" applyFill="1" applyBorder="1"/>
    <xf numFmtId="1" fontId="9" fillId="2" borderId="1" xfId="0" applyNumberFormat="1" applyFont="1" applyFill="1" applyBorder="1" applyAlignment="1">
      <alignment wrapText="1"/>
    </xf>
    <xf numFmtId="0" fontId="12" fillId="0" borderId="1" xfId="0" applyFont="1" applyBorder="1"/>
    <xf numFmtId="1" fontId="12" fillId="0" borderId="1" xfId="0" applyNumberFormat="1" applyFont="1" applyBorder="1"/>
    <xf numFmtId="14" fontId="12" fillId="0" borderId="1" xfId="0" applyNumberFormat="1" applyFont="1" applyBorder="1"/>
    <xf numFmtId="4" fontId="12" fillId="0" borderId="1" xfId="0" applyNumberFormat="1" applyFont="1" applyBorder="1"/>
    <xf numFmtId="43" fontId="12" fillId="0" borderId="1" xfId="2" applyFont="1" applyBorder="1"/>
    <xf numFmtId="0" fontId="12" fillId="0" borderId="0" xfId="0" applyFont="1"/>
    <xf numFmtId="4" fontId="8" fillId="3" borderId="1" xfId="0" applyNumberFormat="1" applyFont="1" applyFill="1" applyBorder="1"/>
    <xf numFmtId="14" fontId="8" fillId="3" borderId="0" xfId="0" applyNumberFormat="1" applyFont="1" applyFill="1"/>
    <xf numFmtId="1" fontId="9" fillId="3" borderId="1" xfId="0" applyNumberFormat="1" applyFont="1" applyFill="1" applyBorder="1"/>
    <xf numFmtId="14" fontId="9" fillId="3" borderId="1" xfId="0" applyNumberFormat="1" applyFont="1" applyFill="1" applyBorder="1"/>
    <xf numFmtId="43" fontId="9" fillId="3" borderId="1" xfId="2" applyFont="1" applyFill="1" applyBorder="1"/>
    <xf numFmtId="2" fontId="9" fillId="3" borderId="1" xfId="0" applyNumberFormat="1" applyFont="1" applyFill="1" applyBorder="1"/>
    <xf numFmtId="4" fontId="9" fillId="2" borderId="1" xfId="0" applyNumberFormat="1" applyFont="1" applyFill="1" applyBorder="1"/>
    <xf numFmtId="1" fontId="8" fillId="2" borderId="0" xfId="0" applyNumberFormat="1" applyFont="1" applyFill="1"/>
    <xf numFmtId="1" fontId="8" fillId="3" borderId="0" xfId="0" applyNumberFormat="1" applyFont="1" applyFill="1"/>
    <xf numFmtId="0" fontId="13" fillId="3" borderId="1" xfId="0" applyFont="1" applyFill="1" applyBorder="1"/>
    <xf numFmtId="43" fontId="8" fillId="2" borderId="1" xfId="2" applyFont="1" applyFill="1" applyBorder="1" applyAlignment="1">
      <alignment horizontal="right"/>
    </xf>
    <xf numFmtId="0" fontId="8" fillId="0" borderId="1" xfId="0" applyFont="1" applyBorder="1" applyAlignment="1">
      <alignment wrapText="1"/>
    </xf>
    <xf numFmtId="3" fontId="9" fillId="2" borderId="1" xfId="0" applyNumberFormat="1" applyFont="1" applyFill="1" applyBorder="1"/>
    <xf numFmtId="0" fontId="13" fillId="2" borderId="1" xfId="0" applyFont="1" applyFill="1" applyBorder="1"/>
    <xf numFmtId="0" fontId="12" fillId="2" borderId="1" xfId="0" applyFont="1" applyFill="1" applyBorder="1"/>
    <xf numFmtId="1" fontId="12" fillId="2" borderId="1" xfId="0" applyNumberFormat="1" applyFont="1" applyFill="1" applyBorder="1"/>
    <xf numFmtId="14" fontId="12" fillId="2" borderId="1" xfId="0" applyNumberFormat="1" applyFont="1" applyFill="1" applyBorder="1"/>
    <xf numFmtId="43" fontId="12" fillId="2" borderId="1" xfId="2" applyFont="1" applyFill="1" applyBorder="1"/>
    <xf numFmtId="0" fontId="12" fillId="2" borderId="0" xfId="0" applyFont="1" applyFill="1"/>
    <xf numFmtId="14" fontId="9" fillId="2" borderId="0" xfId="0" applyNumberFormat="1" applyFont="1" applyFill="1"/>
    <xf numFmtId="0" fontId="8" fillId="6" borderId="0" xfId="0" applyFont="1" applyFill="1"/>
    <xf numFmtId="0" fontId="8" fillId="2" borderId="4" xfId="0" applyFont="1" applyFill="1" applyBorder="1" applyAlignment="1">
      <alignment wrapText="1"/>
    </xf>
    <xf numFmtId="0" fontId="8" fillId="2" borderId="3" xfId="0" applyFont="1" applyFill="1" applyBorder="1" applyAlignment="1">
      <alignment wrapText="1"/>
    </xf>
    <xf numFmtId="0" fontId="14" fillId="3" borderId="1" xfId="0" applyFont="1" applyFill="1" applyBorder="1" applyAlignment="1">
      <alignment vertical="center" wrapText="1"/>
    </xf>
    <xf numFmtId="1" fontId="9" fillId="6" borderId="1" xfId="0" applyNumberFormat="1" applyFont="1" applyFill="1" applyBorder="1"/>
    <xf numFmtId="0" fontId="9" fillId="6" borderId="1" xfId="0" applyFont="1" applyFill="1" applyBorder="1" applyAlignment="1">
      <alignment wrapText="1"/>
    </xf>
    <xf numFmtId="0" fontId="9" fillId="6" borderId="1" xfId="0" applyFont="1" applyFill="1" applyBorder="1" applyAlignment="1">
      <alignment horizontal="center" wrapText="1"/>
    </xf>
    <xf numFmtId="14" fontId="9" fillId="6" borderId="1" xfId="0" applyNumberFormat="1" applyFont="1" applyFill="1" applyBorder="1"/>
    <xf numFmtId="3" fontId="9" fillId="6" borderId="1" xfId="0" applyNumberFormat="1" applyFont="1" applyFill="1" applyBorder="1"/>
    <xf numFmtId="43" fontId="8" fillId="6" borderId="1" xfId="2" applyFont="1" applyFill="1" applyBorder="1" applyAlignment="1">
      <alignment horizontal="right" wrapText="1"/>
    </xf>
    <xf numFmtId="0" fontId="9" fillId="6" borderId="0" xfId="0" applyFont="1" applyFill="1"/>
    <xf numFmtId="0" fontId="9" fillId="0" borderId="2" xfId="0" applyFont="1" applyBorder="1"/>
    <xf numFmtId="0" fontId="9" fillId="0" borderId="1" xfId="0" applyFont="1" applyBorder="1"/>
    <xf numFmtId="0" fontId="9" fillId="3" borderId="1" xfId="0" applyFont="1" applyFill="1" applyBorder="1" applyAlignment="1">
      <alignment wrapText="1"/>
    </xf>
    <xf numFmtId="0" fontId="8" fillId="2" borderId="6" xfId="0" applyFont="1" applyFill="1" applyBorder="1"/>
    <xf numFmtId="0" fontId="8" fillId="2" borderId="5" xfId="0" applyFont="1" applyFill="1" applyBorder="1"/>
    <xf numFmtId="1" fontId="9" fillId="0" borderId="1" xfId="0" applyNumberFormat="1" applyFont="1" applyBorder="1"/>
    <xf numFmtId="0" fontId="9" fillId="0" borderId="1" xfId="0" applyFont="1" applyBorder="1" applyAlignment="1">
      <alignment wrapText="1"/>
    </xf>
    <xf numFmtId="14" fontId="9" fillId="0" borderId="1" xfId="0" applyNumberFormat="1" applyFont="1" applyBorder="1"/>
    <xf numFmtId="43" fontId="9" fillId="0" borderId="1" xfId="2" applyFont="1" applyBorder="1"/>
    <xf numFmtId="0" fontId="8" fillId="2" borderId="2" xfId="0" applyFont="1" applyFill="1" applyBorder="1"/>
    <xf numFmtId="1" fontId="9" fillId="2" borderId="1" xfId="0" applyNumberFormat="1" applyFont="1" applyFill="1" applyBorder="1" applyAlignment="1">
      <alignment horizontal="right" wrapText="1"/>
    </xf>
    <xf numFmtId="0" fontId="12" fillId="7" borderId="0" xfId="0" applyFont="1" applyFill="1"/>
    <xf numFmtId="0" fontId="8" fillId="0" borderId="7" xfId="0" applyFont="1" applyBorder="1"/>
    <xf numFmtId="0" fontId="8" fillId="0" borderId="8" xfId="0" applyFont="1" applyBorder="1"/>
    <xf numFmtId="0" fontId="8" fillId="3" borderId="8" xfId="0" applyFont="1" applyFill="1" applyBorder="1"/>
    <xf numFmtId="0" fontId="8" fillId="2" borderId="9" xfId="0" applyFont="1" applyFill="1" applyBorder="1" applyAlignment="1">
      <alignment horizontal="right" wrapText="1"/>
    </xf>
    <xf numFmtId="1" fontId="8" fillId="2" borderId="9" xfId="0" applyNumberFormat="1" applyFont="1" applyFill="1" applyBorder="1"/>
    <xf numFmtId="0" fontId="8" fillId="2" borderId="8" xfId="0" applyFont="1" applyFill="1" applyBorder="1"/>
    <xf numFmtId="1" fontId="8" fillId="3" borderId="9" xfId="0" applyNumberFormat="1" applyFont="1" applyFill="1" applyBorder="1"/>
    <xf numFmtId="0" fontId="8" fillId="2" borderId="10" xfId="0" applyFont="1" applyFill="1" applyBorder="1"/>
    <xf numFmtId="1" fontId="8" fillId="2" borderId="10" xfId="0" applyNumberFormat="1" applyFont="1" applyFill="1" applyBorder="1"/>
    <xf numFmtId="14" fontId="8" fillId="2" borderId="10" xfId="0" applyNumberFormat="1" applyFont="1" applyFill="1" applyBorder="1"/>
    <xf numFmtId="43" fontId="8" fillId="2" borderId="10" xfId="2" applyFont="1" applyFill="1" applyBorder="1"/>
    <xf numFmtId="14" fontId="8" fillId="3" borderId="10" xfId="0" applyNumberFormat="1" applyFont="1" applyFill="1" applyBorder="1"/>
    <xf numFmtId="43" fontId="8" fillId="2" borderId="0" xfId="2" applyFont="1" applyFill="1" applyBorder="1"/>
    <xf numFmtId="43" fontId="8" fillId="3" borderId="0" xfId="2" applyFont="1" applyFill="1" applyBorder="1"/>
    <xf numFmtId="1" fontId="8" fillId="2" borderId="1" xfId="0" applyNumberFormat="1" applyFont="1" applyFill="1" applyBorder="1" applyAlignment="1">
      <alignment horizontal="right"/>
    </xf>
    <xf numFmtId="0" fontId="12" fillId="7" borderId="10" xfId="0" applyFont="1" applyFill="1" applyBorder="1"/>
    <xf numFmtId="1" fontId="12" fillId="7" borderId="10" xfId="0" applyNumberFormat="1" applyFont="1" applyFill="1" applyBorder="1"/>
    <xf numFmtId="14" fontId="12" fillId="7" borderId="10" xfId="0" applyNumberFormat="1" applyFont="1" applyFill="1" applyBorder="1"/>
    <xf numFmtId="43" fontId="12" fillId="7" borderId="10" xfId="2" applyFont="1" applyFill="1" applyBorder="1" applyAlignment="1">
      <alignment horizontal="right"/>
    </xf>
    <xf numFmtId="0" fontId="12" fillId="7" borderId="8" xfId="0" applyFont="1" applyFill="1" applyBorder="1"/>
    <xf numFmtId="0" fontId="12" fillId="7" borderId="1" xfId="0" applyFont="1" applyFill="1" applyBorder="1"/>
    <xf numFmtId="1" fontId="12" fillId="7" borderId="1" xfId="0" applyNumberFormat="1" applyFont="1" applyFill="1" applyBorder="1"/>
    <xf numFmtId="14" fontId="12" fillId="7" borderId="1" xfId="0" applyNumberFormat="1" applyFont="1" applyFill="1" applyBorder="1"/>
    <xf numFmtId="43" fontId="12" fillId="7" borderId="1" xfId="2" applyFont="1" applyFill="1" applyBorder="1"/>
    <xf numFmtId="4" fontId="12" fillId="7" borderId="1" xfId="0" applyNumberFormat="1" applyFont="1" applyFill="1" applyBorder="1"/>
    <xf numFmtId="14" fontId="12" fillId="7" borderId="0" xfId="0" applyNumberFormat="1" applyFont="1" applyFill="1"/>
    <xf numFmtId="43" fontId="12" fillId="7" borderId="10" xfId="2" applyFont="1" applyFill="1" applyBorder="1"/>
    <xf numFmtId="4" fontId="12" fillId="7" borderId="10" xfId="0" applyNumberFormat="1" applyFont="1" applyFill="1" applyBorder="1"/>
    <xf numFmtId="0" fontId="9" fillId="5" borderId="1" xfId="0" applyFont="1" applyFill="1" applyBorder="1"/>
    <xf numFmtId="1" fontId="9" fillId="5" borderId="1" xfId="0" applyNumberFormat="1" applyFont="1" applyFill="1" applyBorder="1"/>
    <xf numFmtId="0" fontId="9" fillId="5" borderId="1" xfId="0" applyFont="1" applyFill="1" applyBorder="1" applyAlignment="1">
      <alignment wrapText="1"/>
    </xf>
    <xf numFmtId="14" fontId="9" fillId="5" borderId="1" xfId="0" applyNumberFormat="1" applyFont="1" applyFill="1" applyBorder="1"/>
    <xf numFmtId="0" fontId="8" fillId="5" borderId="1" xfId="0" applyFont="1" applyFill="1" applyBorder="1"/>
    <xf numFmtId="43" fontId="9" fillId="5" borderId="1" xfId="2" applyFont="1" applyFill="1" applyBorder="1"/>
    <xf numFmtId="43" fontId="8" fillId="0" borderId="0" xfId="2" applyFont="1" applyBorder="1"/>
    <xf numFmtId="0" fontId="8" fillId="5" borderId="8" xfId="0" applyFont="1" applyFill="1" applyBorder="1"/>
    <xf numFmtId="1" fontId="8" fillId="5" borderId="1" xfId="0" applyNumberFormat="1" applyFont="1" applyFill="1" applyBorder="1"/>
    <xf numFmtId="14" fontId="8" fillId="5" borderId="1" xfId="0" applyNumberFormat="1" applyFont="1" applyFill="1" applyBorder="1"/>
    <xf numFmtId="43" fontId="8" fillId="5" borderId="1" xfId="2" applyFont="1" applyFill="1" applyBorder="1"/>
    <xf numFmtId="2" fontId="8" fillId="0" borderId="1" xfId="0" applyNumberFormat="1" applyFont="1" applyBorder="1"/>
    <xf numFmtId="3" fontId="8" fillId="0" borderId="1" xfId="0" applyNumberFormat="1" applyFont="1" applyBorder="1"/>
    <xf numFmtId="1" fontId="8" fillId="5" borderId="0" xfId="0" applyNumberFormat="1" applyFont="1" applyFill="1"/>
    <xf numFmtId="0" fontId="8" fillId="0" borderId="10" xfId="0" applyFont="1" applyBorder="1"/>
    <xf numFmtId="1" fontId="8" fillId="0" borderId="10" xfId="0" applyNumberFormat="1" applyFont="1" applyBorder="1"/>
    <xf numFmtId="14" fontId="8" fillId="5" borderId="10" xfId="0" applyNumberFormat="1" applyFont="1" applyFill="1" applyBorder="1"/>
    <xf numFmtId="0" fontId="8" fillId="5" borderId="10" xfId="0" applyFont="1" applyFill="1" applyBorder="1"/>
    <xf numFmtId="43" fontId="8" fillId="0" borderId="10" xfId="2" applyFont="1" applyBorder="1"/>
    <xf numFmtId="0" fontId="8" fillId="0" borderId="11" xfId="0" applyFont="1" applyBorder="1"/>
    <xf numFmtId="1" fontId="8" fillId="0" borderId="12" xfId="0" applyNumberFormat="1" applyFont="1" applyBorder="1"/>
    <xf numFmtId="1" fontId="8" fillId="0" borderId="13" xfId="0" applyNumberFormat="1" applyFont="1" applyBorder="1"/>
    <xf numFmtId="14" fontId="8" fillId="5" borderId="12" xfId="0" applyNumberFormat="1" applyFont="1" applyFill="1" applyBorder="1"/>
    <xf numFmtId="0" fontId="8" fillId="5" borderId="12" xfId="0" applyFont="1" applyFill="1" applyBorder="1"/>
    <xf numFmtId="43" fontId="8" fillId="0" borderId="12" xfId="2" applyFont="1" applyBorder="1"/>
    <xf numFmtId="0" fontId="8" fillId="0" borderId="12" xfId="0" applyFont="1" applyBorder="1"/>
    <xf numFmtId="0" fontId="8" fillId="0" borderId="14" xfId="0" applyFont="1" applyBorder="1"/>
    <xf numFmtId="1" fontId="8" fillId="0" borderId="15" xfId="0" applyNumberFormat="1" applyFont="1" applyBorder="1"/>
    <xf numFmtId="14" fontId="8" fillId="0" borderId="15" xfId="0" applyNumberFormat="1" applyFont="1" applyBorder="1"/>
    <xf numFmtId="0" fontId="8" fillId="5" borderId="15" xfId="0" applyFont="1" applyFill="1" applyBorder="1"/>
    <xf numFmtId="43" fontId="8" fillId="0" borderId="15" xfId="2" applyFont="1" applyBorder="1"/>
    <xf numFmtId="0" fontId="8" fillId="0" borderId="15" xfId="0" applyFont="1" applyBorder="1"/>
    <xf numFmtId="1" fontId="8" fillId="5" borderId="15" xfId="0" applyNumberFormat="1" applyFont="1" applyFill="1" applyBorder="1"/>
    <xf numFmtId="14" fontId="8" fillId="0" borderId="10" xfId="0" applyNumberFormat="1" applyFont="1" applyBorder="1"/>
    <xf numFmtId="14" fontId="8" fillId="5" borderId="0" xfId="0" applyNumberFormat="1" applyFont="1" applyFill="1"/>
    <xf numFmtId="0" fontId="8" fillId="0" borderId="5" xfId="0" applyFont="1" applyBorder="1"/>
    <xf numFmtId="1" fontId="8" fillId="0" borderId="5" xfId="0" applyNumberFormat="1" applyFont="1" applyBorder="1"/>
    <xf numFmtId="14" fontId="8" fillId="0" borderId="5" xfId="0" applyNumberFormat="1" applyFont="1" applyBorder="1"/>
    <xf numFmtId="43" fontId="8" fillId="0" borderId="5" xfId="2" applyFont="1" applyBorder="1"/>
    <xf numFmtId="0" fontId="14" fillId="5" borderId="1" xfId="0" applyFont="1" applyFill="1" applyBorder="1" applyAlignment="1">
      <alignment vertical="center" wrapText="1"/>
    </xf>
    <xf numFmtId="14" fontId="9" fillId="0" borderId="0" xfId="0" applyNumberFormat="1" applyFont="1"/>
    <xf numFmtId="3" fontId="9" fillId="0" borderId="1" xfId="0" applyNumberFormat="1" applyFont="1" applyBorder="1"/>
    <xf numFmtId="43" fontId="8" fillId="0" borderId="1" xfId="2" applyFont="1" applyBorder="1" applyAlignment="1">
      <alignment horizontal="right"/>
    </xf>
    <xf numFmtId="1" fontId="9" fillId="6" borderId="0" xfId="0" applyNumberFormat="1" applyFont="1" applyFill="1"/>
    <xf numFmtId="0" fontId="9" fillId="6" borderId="8" xfId="0" applyFont="1" applyFill="1" applyBorder="1"/>
    <xf numFmtId="14" fontId="9" fillId="6" borderId="0" xfId="0" applyNumberFormat="1" applyFont="1" applyFill="1"/>
    <xf numFmtId="43" fontId="9" fillId="6" borderId="0" xfId="2" applyFont="1" applyFill="1" applyBorder="1"/>
    <xf numFmtId="0" fontId="8" fillId="0" borderId="2" xfId="0" applyFont="1" applyBorder="1"/>
    <xf numFmtId="0" fontId="15" fillId="7" borderId="1" xfId="0" applyFont="1" applyFill="1" applyBorder="1" applyAlignment="1">
      <alignment wrapText="1"/>
    </xf>
    <xf numFmtId="0" fontId="15" fillId="7" borderId="1" xfId="0" applyFont="1" applyFill="1" applyBorder="1" applyAlignment="1">
      <alignment horizontal="right" wrapText="1"/>
    </xf>
    <xf numFmtId="0" fontId="8" fillId="7" borderId="1" xfId="0" applyFont="1" applyFill="1" applyBorder="1" applyAlignment="1">
      <alignment wrapText="1"/>
    </xf>
    <xf numFmtId="0" fontId="8" fillId="7" borderId="1" xfId="0" applyFont="1" applyFill="1" applyBorder="1" applyAlignment="1">
      <alignment horizontal="center" wrapText="1"/>
    </xf>
    <xf numFmtId="14" fontId="15" fillId="7" borderId="1" xfId="0" applyNumberFormat="1" applyFont="1" applyFill="1" applyBorder="1" applyAlignment="1">
      <alignment horizontal="right" wrapText="1"/>
    </xf>
    <xf numFmtId="43" fontId="8" fillId="7" borderId="1" xfId="2" applyFont="1" applyFill="1" applyBorder="1" applyAlignment="1">
      <alignment wrapText="1"/>
    </xf>
    <xf numFmtId="0" fontId="12" fillId="7" borderId="1" xfId="0" applyFont="1" applyFill="1" applyBorder="1" applyAlignment="1">
      <alignment horizontal="right" wrapText="1"/>
    </xf>
    <xf numFmtId="0" fontId="15" fillId="7" borderId="1" xfId="0" applyFont="1" applyFill="1" applyBorder="1" applyAlignment="1">
      <alignment horizontal="center" wrapText="1"/>
    </xf>
    <xf numFmtId="0" fontId="13" fillId="0" borderId="1" xfId="0" applyFont="1" applyBorder="1"/>
    <xf numFmtId="43" fontId="8" fillId="0" borderId="0" xfId="2" applyFont="1"/>
    <xf numFmtId="0" fontId="16" fillId="9" borderId="1" xfId="0" applyFont="1" applyFill="1" applyBorder="1" applyAlignment="1">
      <alignment horizontal="center" vertical="center"/>
    </xf>
    <xf numFmtId="1" fontId="16" fillId="9" borderId="1" xfId="0" applyNumberFormat="1" applyFont="1" applyFill="1" applyBorder="1" applyAlignment="1">
      <alignment horizontal="center" vertical="center"/>
    </xf>
    <xf numFmtId="14" fontId="16" fillId="9" borderId="1" xfId="0" applyNumberFormat="1" applyFont="1" applyFill="1" applyBorder="1" applyAlignment="1">
      <alignment horizontal="center" vertical="center"/>
    </xf>
    <xf numFmtId="43" fontId="16" fillId="9" borderId="1" xfId="2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/>
    </xf>
    <xf numFmtId="0" fontId="16" fillId="9" borderId="0" xfId="0" applyFont="1" applyFill="1" applyAlignment="1">
      <alignment horizontal="center"/>
    </xf>
  </cellXfs>
  <cellStyles count="9">
    <cellStyle name="Normal" xfId="0" builtinId="0"/>
    <cellStyle name="Normal 2" xfId="1" xr:uid="{51C96E51-382E-4BD0-B486-A5D77232988E}"/>
    <cellStyle name="Normal 2 2" xfId="6" xr:uid="{2A8FBFD6-5FBB-4A5D-AB8F-7D5D2D35DEF5}"/>
    <cellStyle name="Normal 3" xfId="4" xr:uid="{89AAC4F2-77BF-49A9-AD84-26FF7C5ED734}"/>
    <cellStyle name="Normal 8" xfId="8" xr:uid="{343E0536-8014-4D3D-AB7D-C67081286178}"/>
    <cellStyle name="Virgül" xfId="2" builtinId="3"/>
    <cellStyle name="Virgül 2" xfId="5" xr:uid="{7ADCACFB-09B1-4600-B9EC-85181E0DC5AD}"/>
    <cellStyle name="Yüzde" xfId="3" builtinId="5"/>
    <cellStyle name="Yüzde 2" xfId="7" xr:uid="{D356EF74-173B-4E82-9FB9-9ECF921E26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633"/>
  <sheetViews>
    <sheetView tabSelected="1" zoomScaleNormal="100" workbookViewId="0">
      <selection activeCell="E11" sqref="E11"/>
    </sheetView>
  </sheetViews>
  <sheetFormatPr defaultRowHeight="11.4" x14ac:dyDescent="0.2"/>
  <cols>
    <col min="1" max="1" width="36.6640625" style="20" customWidth="1"/>
    <col min="2" max="2" width="23.6640625" style="34" customWidth="1"/>
    <col min="3" max="3" width="16.21875" style="34" customWidth="1"/>
    <col min="4" max="4" width="22.77734375" style="20" customWidth="1"/>
    <col min="5" max="5" width="22.77734375" style="34" customWidth="1"/>
    <col min="6" max="6" width="14.33203125" style="27" customWidth="1"/>
    <col min="7" max="7" width="15.33203125" style="27" customWidth="1"/>
    <col min="8" max="8" width="16.5546875" style="20" customWidth="1"/>
    <col min="9" max="9" width="20.77734375" style="208" customWidth="1"/>
    <col min="10" max="11" width="15.6640625" style="20" customWidth="1"/>
    <col min="12" max="12" width="24.33203125" style="20" customWidth="1"/>
    <col min="13" max="13" width="29.33203125" style="20" customWidth="1"/>
    <col min="14" max="14" width="36.21875" style="20" customWidth="1"/>
    <col min="15" max="16" width="8.88671875" style="20"/>
    <col min="17" max="17" width="20.33203125" style="20" customWidth="1"/>
    <col min="18" max="16384" width="8.88671875" style="20"/>
  </cols>
  <sheetData>
    <row r="1" spans="1:226" s="214" customFormat="1" ht="58.2" customHeight="1" x14ac:dyDescent="0.25">
      <c r="A1" s="209" t="s">
        <v>0</v>
      </c>
      <c r="B1" s="210" t="s">
        <v>7</v>
      </c>
      <c r="C1" s="210" t="s">
        <v>5</v>
      </c>
      <c r="D1" s="209" t="s">
        <v>1</v>
      </c>
      <c r="E1" s="210" t="s">
        <v>4</v>
      </c>
      <c r="F1" s="211" t="s">
        <v>222</v>
      </c>
      <c r="G1" s="211" t="s">
        <v>221</v>
      </c>
      <c r="H1" s="209" t="s">
        <v>6</v>
      </c>
      <c r="I1" s="212" t="s">
        <v>2</v>
      </c>
      <c r="J1" s="209" t="s">
        <v>1016</v>
      </c>
      <c r="K1" s="209" t="s">
        <v>12</v>
      </c>
      <c r="L1" s="213" t="s">
        <v>737</v>
      </c>
      <c r="M1" s="209" t="s">
        <v>1017</v>
      </c>
      <c r="N1" s="209" t="s">
        <v>1019</v>
      </c>
    </row>
    <row r="2" spans="1:226" s="21" customFormat="1" x14ac:dyDescent="0.2">
      <c r="A2" s="13" t="s">
        <v>563</v>
      </c>
      <c r="B2" s="14">
        <v>10205447340</v>
      </c>
      <c r="C2" s="15">
        <v>5327225400</v>
      </c>
      <c r="D2" s="13" t="s">
        <v>97</v>
      </c>
      <c r="E2" s="16">
        <v>2826254</v>
      </c>
      <c r="F2" s="17">
        <v>45639</v>
      </c>
      <c r="G2" s="17">
        <v>46004</v>
      </c>
      <c r="H2" s="13"/>
      <c r="I2" s="18">
        <v>8652</v>
      </c>
      <c r="J2" s="13" t="s">
        <v>44</v>
      </c>
      <c r="K2" s="13">
        <v>1297.8</v>
      </c>
      <c r="L2" s="14"/>
      <c r="M2" s="13" t="s">
        <v>174</v>
      </c>
      <c r="N2" s="19" t="s">
        <v>564</v>
      </c>
      <c r="O2" s="19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</row>
    <row r="3" spans="1:226" s="21" customFormat="1" x14ac:dyDescent="0.2">
      <c r="A3" s="13" t="s">
        <v>563</v>
      </c>
      <c r="B3" s="14">
        <v>10205447340</v>
      </c>
      <c r="C3" s="15">
        <v>5327225400</v>
      </c>
      <c r="D3" s="13" t="s">
        <v>97</v>
      </c>
      <c r="E3" s="16">
        <v>2826254</v>
      </c>
      <c r="F3" s="17">
        <v>45639</v>
      </c>
      <c r="G3" s="17">
        <v>46004</v>
      </c>
      <c r="H3" s="13"/>
      <c r="I3" s="18">
        <v>8652</v>
      </c>
      <c r="J3" s="13" t="s">
        <v>44</v>
      </c>
      <c r="K3" s="13">
        <v>1297.8</v>
      </c>
      <c r="L3" s="14"/>
      <c r="M3" s="13" t="s">
        <v>174</v>
      </c>
      <c r="N3" s="19" t="s">
        <v>564</v>
      </c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</row>
    <row r="4" spans="1:226" x14ac:dyDescent="0.2">
      <c r="A4" s="22" t="s">
        <v>176</v>
      </c>
      <c r="B4" s="23">
        <v>15217104786</v>
      </c>
      <c r="C4" s="23"/>
      <c r="D4" s="22" t="s">
        <v>177</v>
      </c>
      <c r="E4" s="23">
        <v>1122196202</v>
      </c>
      <c r="F4" s="24">
        <v>45371</v>
      </c>
      <c r="G4" s="24"/>
      <c r="H4" s="22" t="s">
        <v>178</v>
      </c>
      <c r="I4" s="25" t="s">
        <v>175</v>
      </c>
      <c r="J4" s="22" t="s">
        <v>19</v>
      </c>
      <c r="K4" s="22">
        <f>1248.03*0.6</f>
        <v>748.81799999999998</v>
      </c>
      <c r="L4" s="22" t="s">
        <v>180</v>
      </c>
      <c r="M4" s="22" t="s">
        <v>179</v>
      </c>
      <c r="N4" s="20" t="s">
        <v>211</v>
      </c>
    </row>
    <row r="5" spans="1:226" x14ac:dyDescent="0.2">
      <c r="A5" s="22" t="s">
        <v>167</v>
      </c>
      <c r="B5" s="23">
        <v>62353221228</v>
      </c>
      <c r="C5" s="23"/>
      <c r="D5" s="22" t="s">
        <v>31</v>
      </c>
      <c r="E5" s="23">
        <v>301763335</v>
      </c>
      <c r="F5" s="24">
        <v>45453</v>
      </c>
      <c r="G5" s="24">
        <v>45829</v>
      </c>
      <c r="H5" s="22" t="s">
        <v>300</v>
      </c>
      <c r="I5" s="25" t="s">
        <v>310</v>
      </c>
      <c r="J5" s="22" t="s">
        <v>44</v>
      </c>
      <c r="K5" s="26">
        <f>1054.02*0.6</f>
        <v>632.41199999999992</v>
      </c>
      <c r="L5" s="22" t="s">
        <v>307</v>
      </c>
      <c r="M5" s="22" t="s">
        <v>81</v>
      </c>
      <c r="N5" s="27" t="s">
        <v>309</v>
      </c>
    </row>
    <row r="6" spans="1:226" s="28" customFormat="1" x14ac:dyDescent="0.2">
      <c r="A6" s="13" t="s">
        <v>562</v>
      </c>
      <c r="B6" s="14">
        <v>29248808810</v>
      </c>
      <c r="C6" s="15">
        <v>5326955400</v>
      </c>
      <c r="D6" s="13" t="s">
        <v>97</v>
      </c>
      <c r="E6" s="16">
        <v>2826294</v>
      </c>
      <c r="F6" s="17">
        <v>45639</v>
      </c>
      <c r="G6" s="17">
        <v>46004</v>
      </c>
      <c r="H6" s="13"/>
      <c r="I6" s="18">
        <v>7765</v>
      </c>
      <c r="J6" s="13" t="s">
        <v>44</v>
      </c>
      <c r="K6" s="13">
        <v>1164.75</v>
      </c>
      <c r="L6" s="14"/>
      <c r="M6" s="13" t="s">
        <v>174</v>
      </c>
      <c r="N6" s="19" t="s">
        <v>564</v>
      </c>
      <c r="O6" s="19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</row>
    <row r="7" spans="1:226" s="28" customFormat="1" x14ac:dyDescent="0.2">
      <c r="A7" s="13" t="s">
        <v>562</v>
      </c>
      <c r="B7" s="14">
        <v>29248808810</v>
      </c>
      <c r="C7" s="15">
        <v>5326955400</v>
      </c>
      <c r="D7" s="13" t="s">
        <v>97</v>
      </c>
      <c r="E7" s="16">
        <v>2826294</v>
      </c>
      <c r="F7" s="17">
        <v>45639</v>
      </c>
      <c r="G7" s="17">
        <v>46004</v>
      </c>
      <c r="H7" s="13"/>
      <c r="I7" s="18">
        <v>7765</v>
      </c>
      <c r="J7" s="13" t="s">
        <v>44</v>
      </c>
      <c r="K7" s="13">
        <v>1164.75</v>
      </c>
      <c r="L7" s="14"/>
      <c r="M7" s="13" t="s">
        <v>174</v>
      </c>
      <c r="N7" s="19" t="s">
        <v>564</v>
      </c>
      <c r="O7" s="19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</row>
    <row r="8" spans="1:226" s="21" customFormat="1" x14ac:dyDescent="0.2">
      <c r="A8" s="29" t="s">
        <v>278</v>
      </c>
      <c r="B8" s="30">
        <v>24347359300</v>
      </c>
      <c r="C8" s="31"/>
      <c r="D8" s="29" t="s">
        <v>104</v>
      </c>
      <c r="E8" s="30">
        <v>1286741824</v>
      </c>
      <c r="F8" s="32">
        <v>45468</v>
      </c>
      <c r="G8" s="32">
        <v>45838</v>
      </c>
      <c r="H8" s="22"/>
      <c r="I8" s="33">
        <v>6557</v>
      </c>
      <c r="J8" s="29" t="s">
        <v>44</v>
      </c>
      <c r="K8" s="29">
        <v>744.94</v>
      </c>
      <c r="L8" s="24"/>
      <c r="M8" s="23" t="s">
        <v>140</v>
      </c>
      <c r="N8" s="20"/>
      <c r="O8" s="34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</row>
    <row r="9" spans="1:226" s="28" customFormat="1" x14ac:dyDescent="0.2">
      <c r="A9" s="35" t="s">
        <v>120</v>
      </c>
      <c r="B9" s="23">
        <v>43720717988</v>
      </c>
      <c r="C9" s="23"/>
      <c r="D9" s="23" t="s">
        <v>31</v>
      </c>
      <c r="E9" s="23">
        <v>301784388</v>
      </c>
      <c r="F9" s="24">
        <v>45453</v>
      </c>
      <c r="G9" s="24">
        <v>45818</v>
      </c>
      <c r="H9" s="22" t="s">
        <v>374</v>
      </c>
      <c r="I9" s="25" t="s">
        <v>311</v>
      </c>
      <c r="J9" s="23" t="s">
        <v>19</v>
      </c>
      <c r="K9" s="22">
        <f>3751.37*0.6</f>
        <v>2250.8219999999997</v>
      </c>
      <c r="L9" s="22" t="s">
        <v>375</v>
      </c>
      <c r="M9" s="23" t="s">
        <v>81</v>
      </c>
      <c r="N9" s="20" t="s">
        <v>312</v>
      </c>
      <c r="O9" s="34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</row>
    <row r="10" spans="1:226" s="28" customFormat="1" x14ac:dyDescent="0.2">
      <c r="A10" s="13" t="s">
        <v>278</v>
      </c>
      <c r="B10" s="14">
        <v>24347359300</v>
      </c>
      <c r="C10" s="15"/>
      <c r="D10" s="13" t="s">
        <v>303</v>
      </c>
      <c r="E10" s="36">
        <v>16642232</v>
      </c>
      <c r="F10" s="17">
        <v>45468</v>
      </c>
      <c r="G10" s="17">
        <v>45838</v>
      </c>
      <c r="H10" s="37"/>
      <c r="I10" s="18">
        <v>1669.92</v>
      </c>
      <c r="J10" s="13" t="s">
        <v>44</v>
      </c>
      <c r="K10" s="14" t="s">
        <v>344</v>
      </c>
      <c r="L10" s="38"/>
      <c r="M10" s="36" t="s">
        <v>209</v>
      </c>
      <c r="N10" s="20" t="s">
        <v>343</v>
      </c>
      <c r="O10" s="34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</row>
    <row r="11" spans="1:226" s="28" customFormat="1" x14ac:dyDescent="0.2">
      <c r="A11" s="39" t="s">
        <v>450</v>
      </c>
      <c r="B11" s="40"/>
      <c r="C11" s="40"/>
      <c r="D11" s="39" t="s">
        <v>290</v>
      </c>
      <c r="E11" s="40"/>
      <c r="F11" s="41">
        <v>45631</v>
      </c>
      <c r="G11" s="41">
        <v>45996</v>
      </c>
      <c r="H11" s="39" t="s">
        <v>324</v>
      </c>
      <c r="I11" s="42">
        <v>2431099.4700000002</v>
      </c>
      <c r="J11" s="39" t="s">
        <v>20</v>
      </c>
      <c r="K11" s="39"/>
      <c r="L11" s="39"/>
      <c r="M11" s="39" t="s">
        <v>875</v>
      </c>
      <c r="N11" s="20" t="s">
        <v>617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</row>
    <row r="12" spans="1:226" s="45" customFormat="1" x14ac:dyDescent="0.2">
      <c r="A12" s="37" t="s">
        <v>450</v>
      </c>
      <c r="B12" s="36"/>
      <c r="C12" s="36"/>
      <c r="D12" s="37" t="s">
        <v>290</v>
      </c>
      <c r="E12" s="36"/>
      <c r="F12" s="38">
        <v>45994</v>
      </c>
      <c r="G12" s="38">
        <v>45995</v>
      </c>
      <c r="H12" s="37" t="s">
        <v>1010</v>
      </c>
      <c r="I12" s="43">
        <v>2194242.48</v>
      </c>
      <c r="J12" s="37" t="s">
        <v>20</v>
      </c>
      <c r="K12" s="37"/>
      <c r="L12" s="37"/>
      <c r="M12" s="37" t="s">
        <v>875</v>
      </c>
      <c r="N12" s="28" t="s">
        <v>617</v>
      </c>
      <c r="O12" s="28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</row>
    <row r="13" spans="1:226" s="28" customFormat="1" x14ac:dyDescent="0.2">
      <c r="A13" s="37" t="s">
        <v>450</v>
      </c>
      <c r="B13" s="36">
        <v>6211022844</v>
      </c>
      <c r="C13" s="36"/>
      <c r="D13" s="36" t="s">
        <v>31</v>
      </c>
      <c r="E13" s="36"/>
      <c r="F13" s="38">
        <v>45463</v>
      </c>
      <c r="G13" s="38">
        <v>45820</v>
      </c>
      <c r="H13" s="37" t="s">
        <v>324</v>
      </c>
      <c r="I13" s="43">
        <v>1571557</v>
      </c>
      <c r="J13" s="36" t="s">
        <v>20</v>
      </c>
      <c r="K13" s="37">
        <v>235000</v>
      </c>
      <c r="L13" s="37"/>
      <c r="M13" s="36" t="s">
        <v>209</v>
      </c>
      <c r="N13" s="20"/>
      <c r="O13" s="34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</row>
    <row r="14" spans="1:226" s="21" customFormat="1" x14ac:dyDescent="0.2">
      <c r="A14" s="37" t="s">
        <v>26</v>
      </c>
      <c r="B14" s="36">
        <v>4811196831</v>
      </c>
      <c r="C14" s="36"/>
      <c r="D14" s="37" t="s">
        <v>31</v>
      </c>
      <c r="E14" s="36">
        <v>333000020356587</v>
      </c>
      <c r="F14" s="38">
        <v>45670</v>
      </c>
      <c r="G14" s="38">
        <v>46035</v>
      </c>
      <c r="H14" s="37" t="s">
        <v>238</v>
      </c>
      <c r="I14" s="43">
        <v>171611.13</v>
      </c>
      <c r="J14" s="37" t="s">
        <v>20</v>
      </c>
      <c r="K14" s="37">
        <v>24352.91</v>
      </c>
      <c r="L14" s="37"/>
      <c r="M14" s="37" t="s">
        <v>251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</row>
    <row r="15" spans="1:226" s="28" customFormat="1" x14ac:dyDescent="0.2">
      <c r="A15" s="46" t="s">
        <v>420</v>
      </c>
      <c r="B15" s="47"/>
      <c r="C15" s="47"/>
      <c r="D15" s="46" t="s">
        <v>189</v>
      </c>
      <c r="E15" s="47"/>
      <c r="F15" s="48">
        <v>45511</v>
      </c>
      <c r="G15" s="48">
        <v>45879</v>
      </c>
      <c r="H15" s="46"/>
      <c r="I15" s="49">
        <v>106500</v>
      </c>
      <c r="J15" s="46" t="s">
        <v>19</v>
      </c>
      <c r="K15" s="46"/>
      <c r="L15" s="46"/>
      <c r="M15" s="46"/>
      <c r="N15" s="20" t="s">
        <v>421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</row>
    <row r="16" spans="1:226" s="45" customFormat="1" x14ac:dyDescent="0.2">
      <c r="A16" s="37" t="s">
        <v>502</v>
      </c>
      <c r="B16" s="36"/>
      <c r="C16" s="36"/>
      <c r="D16" s="37" t="s">
        <v>155</v>
      </c>
      <c r="E16" s="36">
        <v>1099594</v>
      </c>
      <c r="F16" s="38">
        <v>45941</v>
      </c>
      <c r="G16" s="38">
        <v>45941</v>
      </c>
      <c r="H16" s="37"/>
      <c r="I16" s="43">
        <v>90863</v>
      </c>
      <c r="J16" s="37" t="s">
        <v>20</v>
      </c>
      <c r="K16" s="37"/>
      <c r="L16" s="37"/>
      <c r="M16" s="37" t="s">
        <v>503</v>
      </c>
      <c r="N16" s="28"/>
      <c r="O16" s="28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</row>
    <row r="17" spans="1:226" s="51" customFormat="1" x14ac:dyDescent="0.2">
      <c r="A17" s="37" t="s">
        <v>829</v>
      </c>
      <c r="B17" s="36">
        <v>28319639056</v>
      </c>
      <c r="C17" s="37">
        <v>5303200581</v>
      </c>
      <c r="D17" s="37" t="s">
        <v>31</v>
      </c>
      <c r="E17" s="36">
        <v>126435560</v>
      </c>
      <c r="F17" s="38">
        <v>45807</v>
      </c>
      <c r="G17" s="38">
        <v>45807</v>
      </c>
      <c r="H17" s="37" t="s">
        <v>830</v>
      </c>
      <c r="I17" s="43">
        <v>81797.899999999994</v>
      </c>
      <c r="J17" s="37" t="s">
        <v>20</v>
      </c>
      <c r="K17" s="37">
        <v>11421.19</v>
      </c>
      <c r="L17" s="37" t="s">
        <v>831</v>
      </c>
      <c r="M17" s="37" t="s">
        <v>190</v>
      </c>
      <c r="N17" s="50" t="s">
        <v>836</v>
      </c>
      <c r="O17" s="28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</row>
    <row r="18" spans="1:226" s="28" customFormat="1" ht="12" x14ac:dyDescent="0.25">
      <c r="A18" s="22" t="s">
        <v>156</v>
      </c>
      <c r="B18" s="23">
        <v>26605894448</v>
      </c>
      <c r="C18" s="23"/>
      <c r="D18" s="22" t="s">
        <v>97</v>
      </c>
      <c r="E18" s="23">
        <v>6492637</v>
      </c>
      <c r="F18" s="24">
        <v>45513</v>
      </c>
      <c r="G18" s="24">
        <v>45884</v>
      </c>
      <c r="H18" s="22"/>
      <c r="I18" s="52">
        <v>80820.91</v>
      </c>
      <c r="J18" s="22" t="s">
        <v>19</v>
      </c>
      <c r="K18" s="53">
        <f>13739.55*0.6</f>
        <v>8243.73</v>
      </c>
      <c r="L18" s="22"/>
      <c r="M18" s="22" t="s">
        <v>90</v>
      </c>
      <c r="N18" s="21"/>
      <c r="O18" s="54">
        <v>3229.45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</row>
    <row r="19" spans="1:226" x14ac:dyDescent="0.2">
      <c r="A19" s="37" t="s">
        <v>450</v>
      </c>
      <c r="B19" s="36">
        <v>6211022844</v>
      </c>
      <c r="C19" s="36"/>
      <c r="D19" s="37" t="s">
        <v>31</v>
      </c>
      <c r="E19" s="37">
        <v>826713580</v>
      </c>
      <c r="F19" s="38">
        <v>45758</v>
      </c>
      <c r="G19" s="38">
        <v>45995</v>
      </c>
      <c r="H19" s="37" t="s">
        <v>775</v>
      </c>
      <c r="I19" s="43">
        <v>79389.08</v>
      </c>
      <c r="J19" s="37" t="s">
        <v>20</v>
      </c>
      <c r="K19" s="37">
        <v>6048.68</v>
      </c>
      <c r="L19" s="37" t="s">
        <v>767</v>
      </c>
      <c r="M19" s="37" t="s">
        <v>752</v>
      </c>
      <c r="N19" s="28" t="s">
        <v>950</v>
      </c>
    </row>
    <row r="20" spans="1:226" s="28" customFormat="1" x14ac:dyDescent="0.2">
      <c r="A20" s="37" t="s">
        <v>450</v>
      </c>
      <c r="B20" s="36">
        <v>6211022844</v>
      </c>
      <c r="C20" s="36"/>
      <c r="D20" s="37" t="s">
        <v>31</v>
      </c>
      <c r="E20" s="36">
        <v>826720399</v>
      </c>
      <c r="F20" s="38">
        <v>45758</v>
      </c>
      <c r="G20" s="38">
        <v>45995</v>
      </c>
      <c r="H20" s="37" t="s">
        <v>776</v>
      </c>
      <c r="I20" s="43">
        <v>79389.08</v>
      </c>
      <c r="J20" s="37" t="s">
        <v>20</v>
      </c>
      <c r="K20" s="37">
        <v>6048.68</v>
      </c>
      <c r="L20" s="37" t="s">
        <v>769</v>
      </c>
      <c r="M20" s="37" t="s">
        <v>752</v>
      </c>
      <c r="N20" s="28" t="s">
        <v>950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</row>
    <row r="21" spans="1:226" s="28" customFormat="1" x14ac:dyDescent="0.2">
      <c r="A21" s="37" t="s">
        <v>450</v>
      </c>
      <c r="B21" s="36">
        <v>6211022844</v>
      </c>
      <c r="C21" s="36"/>
      <c r="D21" s="37" t="s">
        <v>31</v>
      </c>
      <c r="E21" s="36">
        <v>826717260</v>
      </c>
      <c r="F21" s="38">
        <v>45758</v>
      </c>
      <c r="G21" s="38">
        <v>45995</v>
      </c>
      <c r="H21" s="37" t="s">
        <v>777</v>
      </c>
      <c r="I21" s="43">
        <v>79389.08</v>
      </c>
      <c r="J21" s="37" t="s">
        <v>20</v>
      </c>
      <c r="K21" s="37">
        <v>6048.68</v>
      </c>
      <c r="L21" s="37" t="s">
        <v>766</v>
      </c>
      <c r="M21" s="37" t="s">
        <v>752</v>
      </c>
      <c r="N21" s="28" t="s">
        <v>950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</row>
    <row r="22" spans="1:226" s="28" customFormat="1" x14ac:dyDescent="0.2">
      <c r="A22" s="37" t="s">
        <v>450</v>
      </c>
      <c r="B22" s="36">
        <v>6211022844</v>
      </c>
      <c r="C22" s="36"/>
      <c r="D22" s="37" t="s">
        <v>31</v>
      </c>
      <c r="E22" s="55">
        <v>828860356</v>
      </c>
      <c r="F22" s="38">
        <v>45765</v>
      </c>
      <c r="G22" s="38">
        <v>45995</v>
      </c>
      <c r="H22" s="37" t="s">
        <v>791</v>
      </c>
      <c r="I22" s="43">
        <v>77379.240000000005</v>
      </c>
      <c r="J22" s="37" t="s">
        <v>20</v>
      </c>
      <c r="K22" s="37">
        <v>5895.57</v>
      </c>
      <c r="L22" s="37" t="s">
        <v>790</v>
      </c>
      <c r="M22" s="37" t="s">
        <v>752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</row>
    <row r="23" spans="1:226" s="28" customFormat="1" x14ac:dyDescent="0.2">
      <c r="A23" s="37" t="s">
        <v>450</v>
      </c>
      <c r="B23" s="36">
        <v>6211022844</v>
      </c>
      <c r="C23" s="36"/>
      <c r="D23" s="37" t="s">
        <v>31</v>
      </c>
      <c r="E23" s="37">
        <v>828861712</v>
      </c>
      <c r="F23" s="38">
        <v>45765</v>
      </c>
      <c r="G23" s="38">
        <v>45995</v>
      </c>
      <c r="H23" s="37" t="s">
        <v>788</v>
      </c>
      <c r="I23" s="43">
        <v>77379.240000000005</v>
      </c>
      <c r="J23" s="37" t="s">
        <v>20</v>
      </c>
      <c r="K23" s="37">
        <v>5895.57</v>
      </c>
      <c r="L23" s="37" t="s">
        <v>789</v>
      </c>
      <c r="M23" s="37" t="s">
        <v>752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</row>
    <row r="24" spans="1:226" s="28" customFormat="1" x14ac:dyDescent="0.2">
      <c r="A24" s="37" t="s">
        <v>283</v>
      </c>
      <c r="B24" s="36">
        <v>18206568354</v>
      </c>
      <c r="C24" s="36"/>
      <c r="D24" s="36" t="s">
        <v>155</v>
      </c>
      <c r="E24" s="36">
        <v>1276501</v>
      </c>
      <c r="F24" s="38">
        <v>45807</v>
      </c>
      <c r="G24" s="38">
        <v>45816</v>
      </c>
      <c r="H24" s="37"/>
      <c r="I24" s="43">
        <v>76618</v>
      </c>
      <c r="J24" s="36" t="s">
        <v>20</v>
      </c>
      <c r="K24" s="37"/>
      <c r="L24" s="38">
        <v>29471</v>
      </c>
      <c r="M24" s="36" t="s">
        <v>174</v>
      </c>
      <c r="N24" s="20" t="s">
        <v>632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</row>
    <row r="25" spans="1:226" s="21" customFormat="1" x14ac:dyDescent="0.2">
      <c r="A25" s="56" t="s">
        <v>450</v>
      </c>
      <c r="B25" s="57">
        <v>6211022844</v>
      </c>
      <c r="C25" s="57"/>
      <c r="D25" s="57" t="s">
        <v>31</v>
      </c>
      <c r="E25" s="57">
        <v>843358318</v>
      </c>
      <c r="F25" s="58">
        <v>45811</v>
      </c>
      <c r="G25" s="58">
        <v>45995</v>
      </c>
      <c r="H25" s="57" t="s">
        <v>839</v>
      </c>
      <c r="I25" s="59">
        <v>76408.83</v>
      </c>
      <c r="J25" s="57" t="s">
        <v>20</v>
      </c>
      <c r="K25" s="56">
        <v>5821.6</v>
      </c>
      <c r="L25" s="58" t="s">
        <v>846</v>
      </c>
      <c r="M25" s="57" t="s">
        <v>751</v>
      </c>
      <c r="N25" s="60" t="s">
        <v>850</v>
      </c>
      <c r="O25" s="6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</row>
    <row r="26" spans="1:226" s="28" customFormat="1" x14ac:dyDescent="0.2">
      <c r="A26" s="56" t="s">
        <v>450</v>
      </c>
      <c r="B26" s="57">
        <v>6211022844</v>
      </c>
      <c r="C26" s="57"/>
      <c r="D26" s="57" t="s">
        <v>31</v>
      </c>
      <c r="E26" s="57">
        <v>843360130</v>
      </c>
      <c r="F26" s="58">
        <v>45811</v>
      </c>
      <c r="G26" s="58">
        <v>45995</v>
      </c>
      <c r="H26" s="57" t="s">
        <v>840</v>
      </c>
      <c r="I26" s="59">
        <v>76408.83</v>
      </c>
      <c r="J26" s="57" t="s">
        <v>20</v>
      </c>
      <c r="K26" s="56">
        <v>5821.6</v>
      </c>
      <c r="L26" s="58" t="s">
        <v>845</v>
      </c>
      <c r="M26" s="57" t="s">
        <v>751</v>
      </c>
      <c r="N26" s="60" t="s">
        <v>850</v>
      </c>
      <c r="O26" s="6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</row>
    <row r="27" spans="1:226" s="28" customFormat="1" x14ac:dyDescent="0.2">
      <c r="A27" s="56" t="s">
        <v>450</v>
      </c>
      <c r="B27" s="57">
        <v>6211022844</v>
      </c>
      <c r="C27" s="57"/>
      <c r="D27" s="57" t="s">
        <v>31</v>
      </c>
      <c r="E27" s="57">
        <v>843361237</v>
      </c>
      <c r="F27" s="58">
        <v>45811</v>
      </c>
      <c r="G27" s="58">
        <v>45995</v>
      </c>
      <c r="H27" s="57" t="s">
        <v>841</v>
      </c>
      <c r="I27" s="59">
        <v>76408.83</v>
      </c>
      <c r="J27" s="57" t="s">
        <v>20</v>
      </c>
      <c r="K27" s="56">
        <v>5821.6</v>
      </c>
      <c r="L27" s="58" t="s">
        <v>844</v>
      </c>
      <c r="M27" s="57" t="s">
        <v>751</v>
      </c>
      <c r="N27" s="60" t="s">
        <v>850</v>
      </c>
      <c r="O27" s="6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</row>
    <row r="28" spans="1:226" s="28" customFormat="1" x14ac:dyDescent="0.2">
      <c r="A28" s="56" t="s">
        <v>450</v>
      </c>
      <c r="B28" s="57">
        <v>6211022844</v>
      </c>
      <c r="C28" s="57"/>
      <c r="D28" s="57" t="s">
        <v>31</v>
      </c>
      <c r="E28" s="61">
        <v>843362322</v>
      </c>
      <c r="F28" s="58">
        <v>45811</v>
      </c>
      <c r="G28" s="58">
        <v>45995</v>
      </c>
      <c r="H28" s="57" t="s">
        <v>842</v>
      </c>
      <c r="I28" s="59">
        <v>76408.83</v>
      </c>
      <c r="J28" s="57" t="s">
        <v>20</v>
      </c>
      <c r="K28" s="56">
        <v>5821.6</v>
      </c>
      <c r="L28" s="58" t="s">
        <v>848</v>
      </c>
      <c r="M28" s="57" t="s">
        <v>751</v>
      </c>
      <c r="N28" s="60" t="s">
        <v>850</v>
      </c>
      <c r="O28" s="6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</row>
    <row r="29" spans="1:226" s="28" customFormat="1" x14ac:dyDescent="0.2">
      <c r="A29" s="56" t="s">
        <v>450</v>
      </c>
      <c r="B29" s="57">
        <v>6211022844</v>
      </c>
      <c r="C29" s="57"/>
      <c r="D29" s="57" t="s">
        <v>31</v>
      </c>
      <c r="E29" s="57">
        <v>843363766</v>
      </c>
      <c r="F29" s="58">
        <v>45811</v>
      </c>
      <c r="G29" s="58">
        <v>45995</v>
      </c>
      <c r="H29" s="57" t="s">
        <v>843</v>
      </c>
      <c r="I29" s="59">
        <v>76408.83</v>
      </c>
      <c r="J29" s="57" t="s">
        <v>20</v>
      </c>
      <c r="K29" s="56">
        <v>5821.6</v>
      </c>
      <c r="L29" s="58" t="s">
        <v>847</v>
      </c>
      <c r="M29" s="57" t="s">
        <v>751</v>
      </c>
      <c r="N29" s="60" t="s">
        <v>850</v>
      </c>
      <c r="O29" s="6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</row>
    <row r="30" spans="1:226" s="28" customFormat="1" x14ac:dyDescent="0.2">
      <c r="A30" s="37" t="s">
        <v>401</v>
      </c>
      <c r="B30" s="36" t="s">
        <v>1012</v>
      </c>
      <c r="C30" s="36"/>
      <c r="D30" s="37" t="s">
        <v>155</v>
      </c>
      <c r="E30" s="36">
        <v>3090602</v>
      </c>
      <c r="F30" s="38">
        <v>45996</v>
      </c>
      <c r="G30" s="38">
        <v>45996</v>
      </c>
      <c r="H30" s="37"/>
      <c r="I30" s="43">
        <v>75469</v>
      </c>
      <c r="J30" s="37" t="s">
        <v>20</v>
      </c>
      <c r="K30" s="37"/>
      <c r="L30" s="37"/>
      <c r="M30" s="37" t="s">
        <v>174</v>
      </c>
      <c r="N30" s="50">
        <v>32756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</row>
    <row r="31" spans="1:226" s="28" customFormat="1" x14ac:dyDescent="0.2">
      <c r="A31" s="39" t="s">
        <v>450</v>
      </c>
      <c r="B31" s="40">
        <v>6211022844</v>
      </c>
      <c r="C31" s="40"/>
      <c r="D31" s="39" t="s">
        <v>27</v>
      </c>
      <c r="E31" s="40">
        <v>801278052</v>
      </c>
      <c r="F31" s="41">
        <v>45681</v>
      </c>
      <c r="G31" s="41">
        <v>45681</v>
      </c>
      <c r="H31" s="39" t="s">
        <v>86</v>
      </c>
      <c r="I31" s="42">
        <v>71326</v>
      </c>
      <c r="J31" s="39" t="s">
        <v>20</v>
      </c>
      <c r="K31" s="39"/>
      <c r="L31" s="39" t="s">
        <v>643</v>
      </c>
      <c r="M31" s="39" t="s">
        <v>875</v>
      </c>
      <c r="N31" s="20" t="s">
        <v>646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</row>
    <row r="32" spans="1:226" x14ac:dyDescent="0.2">
      <c r="A32" s="37" t="s">
        <v>450</v>
      </c>
      <c r="B32" s="36">
        <v>6211022844</v>
      </c>
      <c r="C32" s="36"/>
      <c r="D32" s="37" t="s">
        <v>27</v>
      </c>
      <c r="E32" s="37">
        <v>827072002</v>
      </c>
      <c r="F32" s="38">
        <v>45761</v>
      </c>
      <c r="G32" s="38">
        <v>45771</v>
      </c>
      <c r="H32" s="37" t="s">
        <v>223</v>
      </c>
      <c r="I32" s="43">
        <v>67531</v>
      </c>
      <c r="J32" s="36" t="s">
        <v>20</v>
      </c>
      <c r="K32" s="37">
        <v>6028.96</v>
      </c>
      <c r="L32" s="37" t="s">
        <v>225</v>
      </c>
      <c r="M32" s="37" t="s">
        <v>752</v>
      </c>
      <c r="N32" s="28"/>
      <c r="O32" s="28"/>
    </row>
    <row r="33" spans="1:226" s="28" customFormat="1" x14ac:dyDescent="0.2">
      <c r="A33" s="37" t="s">
        <v>283</v>
      </c>
      <c r="B33" s="36">
        <v>18206568354</v>
      </c>
      <c r="C33" s="36"/>
      <c r="D33" s="36" t="s">
        <v>155</v>
      </c>
      <c r="E33" s="36">
        <v>1276501</v>
      </c>
      <c r="F33" s="38">
        <v>45451</v>
      </c>
      <c r="G33" s="38">
        <v>45816</v>
      </c>
      <c r="H33" s="37"/>
      <c r="I33" s="43">
        <v>66337</v>
      </c>
      <c r="J33" s="36" t="s">
        <v>20</v>
      </c>
      <c r="K33" s="37"/>
      <c r="L33" s="38">
        <v>29471</v>
      </c>
      <c r="M33" s="36" t="s">
        <v>174</v>
      </c>
      <c r="N33" s="20" t="s">
        <v>325</v>
      </c>
      <c r="O33" s="34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</row>
    <row r="34" spans="1:226" s="21" customFormat="1" x14ac:dyDescent="0.2">
      <c r="A34" s="37" t="s">
        <v>26</v>
      </c>
      <c r="B34" s="36">
        <v>4811196831</v>
      </c>
      <c r="C34" s="36"/>
      <c r="D34" s="37" t="s">
        <v>476</v>
      </c>
      <c r="E34" s="36">
        <v>122099158</v>
      </c>
      <c r="F34" s="38">
        <v>45572</v>
      </c>
      <c r="G34" s="38">
        <v>45911</v>
      </c>
      <c r="H34" s="37"/>
      <c r="I34" s="43">
        <v>66020</v>
      </c>
      <c r="J34" s="37" t="s">
        <v>20</v>
      </c>
      <c r="K34" s="37">
        <v>9360</v>
      </c>
      <c r="L34" s="37"/>
      <c r="M34" s="37" t="s">
        <v>190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</row>
    <row r="35" spans="1:226" x14ac:dyDescent="0.2">
      <c r="A35" s="37" t="s">
        <v>26</v>
      </c>
      <c r="B35" s="36">
        <v>4811196831</v>
      </c>
      <c r="C35" s="36"/>
      <c r="D35" s="37" t="s">
        <v>476</v>
      </c>
      <c r="E35" s="36">
        <v>122099158</v>
      </c>
      <c r="F35" s="38">
        <v>45926</v>
      </c>
      <c r="G35" s="38">
        <v>45911</v>
      </c>
      <c r="H35" s="37"/>
      <c r="I35" s="43">
        <v>65478</v>
      </c>
      <c r="J35" s="37" t="s">
        <v>20</v>
      </c>
      <c r="K35" s="37">
        <v>9354</v>
      </c>
      <c r="L35" s="37"/>
      <c r="M35" s="37" t="s">
        <v>190</v>
      </c>
      <c r="N35" s="28"/>
      <c r="O35" s="28"/>
      <c r="Q35" s="20" t="s">
        <v>444</v>
      </c>
    </row>
    <row r="36" spans="1:226" x14ac:dyDescent="0.2">
      <c r="A36" s="37" t="s">
        <v>450</v>
      </c>
      <c r="B36" s="36">
        <v>6211022844</v>
      </c>
      <c r="C36" s="36"/>
      <c r="D36" s="37" t="s">
        <v>104</v>
      </c>
      <c r="E36" s="36">
        <v>850114791</v>
      </c>
      <c r="F36" s="38">
        <v>45861</v>
      </c>
      <c r="G36" s="38">
        <v>45861</v>
      </c>
      <c r="H36" s="37"/>
      <c r="I36" s="43">
        <v>65391.97</v>
      </c>
      <c r="J36" s="37" t="s">
        <v>20</v>
      </c>
      <c r="K36" s="37">
        <v>15537.8</v>
      </c>
      <c r="L36" s="37"/>
      <c r="M36" s="37" t="s">
        <v>752</v>
      </c>
      <c r="N36" s="28"/>
      <c r="O36" s="28"/>
    </row>
    <row r="37" spans="1:226" x14ac:dyDescent="0.2">
      <c r="A37" s="37" t="s">
        <v>207</v>
      </c>
      <c r="B37" s="36">
        <v>21572789810</v>
      </c>
      <c r="C37" s="36"/>
      <c r="D37" s="37" t="s">
        <v>155</v>
      </c>
      <c r="E37" s="36">
        <v>2689580</v>
      </c>
      <c r="F37" s="38">
        <v>45385</v>
      </c>
      <c r="G37" s="38"/>
      <c r="H37" s="37"/>
      <c r="I37" s="43">
        <v>63936</v>
      </c>
      <c r="J37" s="37" t="s">
        <v>19</v>
      </c>
      <c r="K37" s="62">
        <v>9590.0400000000009</v>
      </c>
      <c r="L37" s="37" t="s">
        <v>208</v>
      </c>
      <c r="M37" s="37" t="s">
        <v>174</v>
      </c>
    </row>
    <row r="38" spans="1:226" x14ac:dyDescent="0.2">
      <c r="A38" s="46" t="s">
        <v>502</v>
      </c>
      <c r="B38" s="47"/>
      <c r="C38" s="47"/>
      <c r="D38" s="46" t="s">
        <v>155</v>
      </c>
      <c r="E38" s="47">
        <v>1099594</v>
      </c>
      <c r="F38" s="48">
        <v>45576</v>
      </c>
      <c r="G38" s="48">
        <v>45941</v>
      </c>
      <c r="H38" s="46"/>
      <c r="I38" s="49">
        <v>63047</v>
      </c>
      <c r="J38" s="46" t="s">
        <v>20</v>
      </c>
      <c r="K38" s="46"/>
      <c r="L38" s="46"/>
      <c r="M38" s="46" t="s">
        <v>503</v>
      </c>
    </row>
    <row r="39" spans="1:226" x14ac:dyDescent="0.2">
      <c r="A39" s="37" t="s">
        <v>450</v>
      </c>
      <c r="B39" s="36">
        <v>6211022844</v>
      </c>
      <c r="C39" s="36"/>
      <c r="D39" s="37" t="s">
        <v>27</v>
      </c>
      <c r="E39" s="36">
        <v>863380145</v>
      </c>
      <c r="F39" s="38">
        <v>45870</v>
      </c>
      <c r="G39" s="38">
        <v>45870</v>
      </c>
      <c r="H39" s="37" t="s">
        <v>899</v>
      </c>
      <c r="I39" s="43">
        <v>60722</v>
      </c>
      <c r="J39" s="37" t="s">
        <v>20</v>
      </c>
      <c r="K39" s="63">
        <v>5421.52</v>
      </c>
      <c r="L39" s="37" t="s">
        <v>900</v>
      </c>
      <c r="M39" s="37" t="s">
        <v>751</v>
      </c>
      <c r="N39" s="28"/>
      <c r="O39" s="28"/>
    </row>
    <row r="40" spans="1:226" s="21" customFormat="1" x14ac:dyDescent="0.2">
      <c r="A40" s="37" t="s">
        <v>450</v>
      </c>
      <c r="B40" s="36">
        <v>6211022844</v>
      </c>
      <c r="C40" s="36"/>
      <c r="D40" s="37" t="s">
        <v>27</v>
      </c>
      <c r="E40" s="36">
        <v>863397272</v>
      </c>
      <c r="F40" s="38">
        <v>45870</v>
      </c>
      <c r="G40" s="38">
        <v>45870</v>
      </c>
      <c r="H40" s="37" t="s">
        <v>901</v>
      </c>
      <c r="I40" s="43">
        <v>60722</v>
      </c>
      <c r="J40" s="37" t="s">
        <v>20</v>
      </c>
      <c r="K40" s="63">
        <v>5421.52</v>
      </c>
      <c r="L40" s="37" t="s">
        <v>902</v>
      </c>
      <c r="M40" s="37" t="s">
        <v>751</v>
      </c>
      <c r="N40" s="28"/>
      <c r="O40" s="28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</row>
    <row r="41" spans="1:226" x14ac:dyDescent="0.2">
      <c r="A41" s="37" t="s">
        <v>450</v>
      </c>
      <c r="B41" s="36">
        <v>6211022844</v>
      </c>
      <c r="C41" s="36"/>
      <c r="D41" s="37" t="s">
        <v>27</v>
      </c>
      <c r="E41" s="36">
        <v>863400325</v>
      </c>
      <c r="F41" s="38">
        <v>45870</v>
      </c>
      <c r="G41" s="38">
        <v>45870</v>
      </c>
      <c r="H41" s="37" t="s">
        <v>904</v>
      </c>
      <c r="I41" s="43">
        <v>60722</v>
      </c>
      <c r="J41" s="37" t="s">
        <v>20</v>
      </c>
      <c r="K41" s="63">
        <v>5421.52</v>
      </c>
      <c r="L41" s="37" t="s">
        <v>903</v>
      </c>
      <c r="M41" s="37" t="s">
        <v>751</v>
      </c>
      <c r="N41" s="28"/>
      <c r="O41" s="28"/>
    </row>
    <row r="42" spans="1:226" s="28" customFormat="1" x14ac:dyDescent="0.2">
      <c r="A42" s="37" t="s">
        <v>1000</v>
      </c>
      <c r="B42" s="36">
        <v>6211022844</v>
      </c>
      <c r="C42" s="36"/>
      <c r="D42" s="37" t="s">
        <v>27</v>
      </c>
      <c r="E42" s="37">
        <v>898275311</v>
      </c>
      <c r="F42" s="38">
        <v>45986</v>
      </c>
      <c r="G42" s="38">
        <v>45986</v>
      </c>
      <c r="H42" s="36" t="s">
        <v>1002</v>
      </c>
      <c r="I42" s="43">
        <v>59573.99</v>
      </c>
      <c r="J42" s="37" t="s">
        <v>20</v>
      </c>
      <c r="K42" s="63">
        <v>5318.58</v>
      </c>
      <c r="L42" s="37" t="s">
        <v>1006</v>
      </c>
      <c r="M42" s="37" t="s">
        <v>752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</row>
    <row r="43" spans="1:226" s="28" customFormat="1" x14ac:dyDescent="0.2">
      <c r="A43" s="37" t="s">
        <v>450</v>
      </c>
      <c r="B43" s="36">
        <v>6211022844</v>
      </c>
      <c r="C43" s="36"/>
      <c r="D43" s="37" t="s">
        <v>27</v>
      </c>
      <c r="E43" s="36">
        <v>826516817</v>
      </c>
      <c r="F43" s="38">
        <v>45758</v>
      </c>
      <c r="G43" s="38">
        <v>45758</v>
      </c>
      <c r="H43" s="37" t="s">
        <v>772</v>
      </c>
      <c r="I43" s="43">
        <v>56727</v>
      </c>
      <c r="J43" s="37" t="s">
        <v>20</v>
      </c>
      <c r="K43" s="37">
        <v>5064.41</v>
      </c>
      <c r="L43" s="37" t="s">
        <v>766</v>
      </c>
      <c r="M43" s="37" t="s">
        <v>752</v>
      </c>
      <c r="N43" s="5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</row>
    <row r="44" spans="1:226" x14ac:dyDescent="0.2">
      <c r="A44" s="37" t="s">
        <v>450</v>
      </c>
      <c r="B44" s="36">
        <v>6211022844</v>
      </c>
      <c r="C44" s="36"/>
      <c r="D44" s="37" t="s">
        <v>27</v>
      </c>
      <c r="E44" s="36">
        <v>826514080</v>
      </c>
      <c r="F44" s="38">
        <v>45758</v>
      </c>
      <c r="G44" s="38">
        <v>45758</v>
      </c>
      <c r="H44" s="37" t="s">
        <v>771</v>
      </c>
      <c r="I44" s="43">
        <v>56727</v>
      </c>
      <c r="J44" s="37" t="s">
        <v>20</v>
      </c>
      <c r="K44" s="37">
        <v>5064.41</v>
      </c>
      <c r="L44" s="37" t="s">
        <v>767</v>
      </c>
      <c r="M44" s="37" t="s">
        <v>752</v>
      </c>
      <c r="N44" s="50"/>
      <c r="O44" s="28"/>
    </row>
    <row r="45" spans="1:226" s="21" customFormat="1" x14ac:dyDescent="0.2">
      <c r="A45" s="37" t="s">
        <v>450</v>
      </c>
      <c r="B45" s="36">
        <v>6211022844</v>
      </c>
      <c r="C45" s="36"/>
      <c r="D45" s="37" t="s">
        <v>27</v>
      </c>
      <c r="E45" s="36">
        <v>826507563</v>
      </c>
      <c r="F45" s="38">
        <v>45758</v>
      </c>
      <c r="G45" s="38">
        <v>45758</v>
      </c>
      <c r="H45" s="37" t="s">
        <v>768</v>
      </c>
      <c r="I45" s="43">
        <v>56727</v>
      </c>
      <c r="J45" s="37" t="s">
        <v>20</v>
      </c>
      <c r="K45" s="37">
        <v>5064.41</v>
      </c>
      <c r="L45" s="37" t="s">
        <v>769</v>
      </c>
      <c r="M45" s="37" t="s">
        <v>752</v>
      </c>
      <c r="N45" s="28"/>
      <c r="O45" s="28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</row>
    <row r="46" spans="1:226" s="28" customFormat="1" x14ac:dyDescent="0.2">
      <c r="A46" s="37" t="s">
        <v>450</v>
      </c>
      <c r="B46" s="36">
        <v>6211022844</v>
      </c>
      <c r="C46" s="36"/>
      <c r="D46" s="37" t="s">
        <v>27</v>
      </c>
      <c r="E46" s="37">
        <v>826452355</v>
      </c>
      <c r="F46" s="38">
        <v>45761</v>
      </c>
      <c r="G46" s="38">
        <v>45764</v>
      </c>
      <c r="H46" s="36" t="s">
        <v>220</v>
      </c>
      <c r="I46" s="43">
        <v>56727</v>
      </c>
      <c r="J46" s="36" t="s">
        <v>20</v>
      </c>
      <c r="K46" s="37">
        <v>5064.41</v>
      </c>
      <c r="L46" s="37" t="s">
        <v>212</v>
      </c>
      <c r="M46" s="37" t="s">
        <v>752</v>
      </c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</row>
    <row r="47" spans="1:226" x14ac:dyDescent="0.2">
      <c r="A47" s="37" t="s">
        <v>450</v>
      </c>
      <c r="B47" s="36">
        <v>6211022844</v>
      </c>
      <c r="C47" s="36"/>
      <c r="D47" s="37" t="s">
        <v>27</v>
      </c>
      <c r="E47" s="37">
        <v>828789790</v>
      </c>
      <c r="F47" s="38">
        <v>45764</v>
      </c>
      <c r="G47" s="38">
        <v>46129</v>
      </c>
      <c r="H47" s="37" t="s">
        <v>788</v>
      </c>
      <c r="I47" s="43">
        <v>56727</v>
      </c>
      <c r="J47" s="37" t="s">
        <v>20</v>
      </c>
      <c r="K47" s="37">
        <v>5064.41</v>
      </c>
      <c r="L47" s="37" t="s">
        <v>789</v>
      </c>
      <c r="M47" s="37" t="s">
        <v>752</v>
      </c>
      <c r="N47" s="28"/>
      <c r="O47" s="28"/>
    </row>
    <row r="48" spans="1:226" s="64" customFormat="1" x14ac:dyDescent="0.2">
      <c r="A48" s="37" t="s">
        <v>450</v>
      </c>
      <c r="B48" s="36">
        <v>6211022844</v>
      </c>
      <c r="C48" s="36"/>
      <c r="D48" s="37" t="s">
        <v>27</v>
      </c>
      <c r="E48" s="36">
        <v>828793610</v>
      </c>
      <c r="F48" s="38">
        <v>45764</v>
      </c>
      <c r="G48" s="38">
        <v>46129</v>
      </c>
      <c r="H48" s="37" t="s">
        <v>791</v>
      </c>
      <c r="I48" s="43">
        <v>56727</v>
      </c>
      <c r="J48" s="37" t="s">
        <v>20</v>
      </c>
      <c r="K48" s="37">
        <v>5064.41</v>
      </c>
      <c r="L48" s="37" t="s">
        <v>790</v>
      </c>
      <c r="M48" s="37" t="s">
        <v>752</v>
      </c>
      <c r="N48" s="28"/>
      <c r="O48" s="28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</row>
    <row r="49" spans="1:226" s="64" customFormat="1" x14ac:dyDescent="0.2">
      <c r="A49" s="37" t="s">
        <v>450</v>
      </c>
      <c r="B49" s="36">
        <v>6211022844</v>
      </c>
      <c r="C49" s="36"/>
      <c r="D49" s="36" t="s">
        <v>27</v>
      </c>
      <c r="E49" s="37">
        <v>835763638</v>
      </c>
      <c r="F49" s="38">
        <v>45810</v>
      </c>
      <c r="G49" s="38">
        <v>45810</v>
      </c>
      <c r="H49" s="37" t="s">
        <v>840</v>
      </c>
      <c r="I49" s="43">
        <v>53290</v>
      </c>
      <c r="J49" s="36" t="s">
        <v>20</v>
      </c>
      <c r="K49" s="37">
        <v>4757.5600000000004</v>
      </c>
      <c r="L49" s="38" t="s">
        <v>845</v>
      </c>
      <c r="M49" s="36" t="s">
        <v>751</v>
      </c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</row>
    <row r="50" spans="1:226" s="28" customFormat="1" x14ac:dyDescent="0.2">
      <c r="A50" s="22" t="s">
        <v>154</v>
      </c>
      <c r="B50" s="23">
        <v>59134045708</v>
      </c>
      <c r="C50" s="23"/>
      <c r="D50" s="22" t="s">
        <v>155</v>
      </c>
      <c r="E50" s="23">
        <v>1071008602478</v>
      </c>
      <c r="F50" s="32">
        <v>45706</v>
      </c>
      <c r="G50" s="32">
        <v>46074</v>
      </c>
      <c r="H50" s="22"/>
      <c r="I50" s="52">
        <v>52209.26</v>
      </c>
      <c r="J50" s="22" t="s">
        <v>19</v>
      </c>
      <c r="K50" s="22">
        <v>1566.09</v>
      </c>
      <c r="L50" s="22"/>
      <c r="M50" s="22" t="s">
        <v>191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</row>
    <row r="51" spans="1:226" s="28" customFormat="1" x14ac:dyDescent="0.2">
      <c r="A51" s="37" t="s">
        <v>450</v>
      </c>
      <c r="B51" s="36">
        <v>6211022844</v>
      </c>
      <c r="C51" s="36"/>
      <c r="D51" s="37" t="s">
        <v>27</v>
      </c>
      <c r="E51" s="37">
        <v>832104538</v>
      </c>
      <c r="F51" s="38">
        <v>45775</v>
      </c>
      <c r="G51" s="38">
        <v>45775</v>
      </c>
      <c r="H51" s="37" t="s">
        <v>801</v>
      </c>
      <c r="I51" s="43">
        <v>51536.99</v>
      </c>
      <c r="J51" s="37" t="s">
        <v>20</v>
      </c>
      <c r="K51" s="65">
        <v>4601.05</v>
      </c>
      <c r="L51" s="37"/>
      <c r="M51" s="37" t="s">
        <v>751</v>
      </c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</row>
    <row r="52" spans="1:226" s="28" customFormat="1" x14ac:dyDescent="0.2">
      <c r="A52" s="37" t="s">
        <v>450</v>
      </c>
      <c r="B52" s="36">
        <v>6211022844</v>
      </c>
      <c r="C52" s="36"/>
      <c r="D52" s="37" t="s">
        <v>27</v>
      </c>
      <c r="E52" s="37">
        <v>832121809</v>
      </c>
      <c r="F52" s="38">
        <v>45775</v>
      </c>
      <c r="G52" s="38">
        <v>45775</v>
      </c>
      <c r="H52" s="65" t="s">
        <v>803</v>
      </c>
      <c r="I52" s="43">
        <v>51536.99</v>
      </c>
      <c r="J52" s="37" t="s">
        <v>20</v>
      </c>
      <c r="K52" s="65">
        <v>4601.05</v>
      </c>
      <c r="L52" s="37"/>
      <c r="M52" s="37" t="s">
        <v>751</v>
      </c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</row>
    <row r="53" spans="1:226" s="28" customFormat="1" x14ac:dyDescent="0.2">
      <c r="A53" s="46" t="s">
        <v>102</v>
      </c>
      <c r="B53" s="47">
        <v>18164569752</v>
      </c>
      <c r="C53" s="47"/>
      <c r="D53" s="46" t="s">
        <v>155</v>
      </c>
      <c r="E53" s="47">
        <v>357296</v>
      </c>
      <c r="F53" s="48">
        <v>45672</v>
      </c>
      <c r="G53" s="48">
        <v>46037</v>
      </c>
      <c r="H53" s="46"/>
      <c r="I53" s="49">
        <v>50692</v>
      </c>
      <c r="J53" s="46" t="s">
        <v>20</v>
      </c>
      <c r="K53" s="46"/>
      <c r="L53" s="46"/>
      <c r="M53" s="46" t="s">
        <v>174</v>
      </c>
      <c r="N53" s="20" t="s">
        <v>632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</row>
    <row r="54" spans="1:226" s="28" customFormat="1" x14ac:dyDescent="0.2">
      <c r="A54" s="22" t="s">
        <v>98</v>
      </c>
      <c r="B54" s="23">
        <v>21040245558</v>
      </c>
      <c r="C54" s="23">
        <v>5325410396</v>
      </c>
      <c r="D54" s="22" t="s">
        <v>97</v>
      </c>
      <c r="E54" s="23">
        <v>1067334123</v>
      </c>
      <c r="F54" s="24">
        <v>45691</v>
      </c>
      <c r="G54" s="24"/>
      <c r="H54" s="22"/>
      <c r="I54" s="52">
        <v>48771</v>
      </c>
      <c r="J54" s="22" t="s">
        <v>19</v>
      </c>
      <c r="K54" s="66">
        <f>7360.05*0.6</f>
        <v>4416.03</v>
      </c>
      <c r="L54" s="22"/>
      <c r="M54" s="22" t="s">
        <v>140</v>
      </c>
      <c r="N54" s="20" t="s">
        <v>468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</row>
    <row r="55" spans="1:226" ht="13.2" customHeight="1" x14ac:dyDescent="0.2">
      <c r="A55" s="39" t="s">
        <v>450</v>
      </c>
      <c r="B55" s="40">
        <v>6211022844</v>
      </c>
      <c r="C55" s="40"/>
      <c r="D55" s="39" t="s">
        <v>27</v>
      </c>
      <c r="E55" s="40">
        <v>801279722</v>
      </c>
      <c r="F55" s="41">
        <v>45682</v>
      </c>
      <c r="G55" s="41">
        <v>45681</v>
      </c>
      <c r="H55" s="39" t="s">
        <v>87</v>
      </c>
      <c r="I55" s="42">
        <v>46019.99</v>
      </c>
      <c r="J55" s="39" t="s">
        <v>20</v>
      </c>
      <c r="K55" s="39"/>
      <c r="L55" s="39" t="s">
        <v>644</v>
      </c>
      <c r="M55" s="39" t="s">
        <v>875</v>
      </c>
      <c r="N55" s="20" t="s">
        <v>646</v>
      </c>
    </row>
    <row r="56" spans="1:226" s="28" customFormat="1" ht="13.2" customHeight="1" x14ac:dyDescent="0.2">
      <c r="A56" s="37" t="s">
        <v>14</v>
      </c>
      <c r="B56" s="36">
        <v>4540083266</v>
      </c>
      <c r="C56" s="36"/>
      <c r="D56" s="37" t="s">
        <v>27</v>
      </c>
      <c r="E56" s="36">
        <v>100000337946066</v>
      </c>
      <c r="F56" s="38">
        <v>45690</v>
      </c>
      <c r="G56" s="38">
        <v>45690</v>
      </c>
      <c r="H56" s="37" t="s">
        <v>673</v>
      </c>
      <c r="I56" s="43">
        <v>45060</v>
      </c>
      <c r="J56" s="37" t="s">
        <v>20</v>
      </c>
      <c r="K56" s="37">
        <v>4087.54</v>
      </c>
      <c r="L56" s="37" t="s">
        <v>674</v>
      </c>
      <c r="M56" s="37" t="s">
        <v>670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</row>
    <row r="57" spans="1:226" s="21" customFormat="1" x14ac:dyDescent="0.2">
      <c r="A57" s="39" t="s">
        <v>450</v>
      </c>
      <c r="B57" s="40">
        <v>6211022844</v>
      </c>
      <c r="C57" s="40"/>
      <c r="D57" s="39" t="s">
        <v>27</v>
      </c>
      <c r="E57" s="40">
        <v>801270062</v>
      </c>
      <c r="F57" s="41">
        <v>45678</v>
      </c>
      <c r="G57" s="41">
        <v>45681</v>
      </c>
      <c r="H57" s="39" t="s">
        <v>82</v>
      </c>
      <c r="I57" s="42">
        <v>44009.99</v>
      </c>
      <c r="J57" s="39" t="s">
        <v>20</v>
      </c>
      <c r="K57" s="39"/>
      <c r="L57" s="39" t="s">
        <v>640</v>
      </c>
      <c r="M57" s="39" t="s">
        <v>875</v>
      </c>
      <c r="N57" s="20" t="s">
        <v>646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</row>
    <row r="58" spans="1:226" s="28" customFormat="1" x14ac:dyDescent="0.2">
      <c r="A58" s="37" t="s">
        <v>13</v>
      </c>
      <c r="B58" s="36">
        <v>6211022844</v>
      </c>
      <c r="C58" s="36"/>
      <c r="D58" s="37" t="s">
        <v>27</v>
      </c>
      <c r="E58" s="36">
        <v>93331726</v>
      </c>
      <c r="F58" s="38">
        <v>45315</v>
      </c>
      <c r="G58" s="38"/>
      <c r="H58" s="37" t="s">
        <v>86</v>
      </c>
      <c r="I58" s="43">
        <v>43812.160000000003</v>
      </c>
      <c r="J58" s="37" t="s">
        <v>20</v>
      </c>
      <c r="K58" s="37">
        <v>3911.8</v>
      </c>
      <c r="L58" s="37"/>
      <c r="M58" s="37" t="s">
        <v>22</v>
      </c>
      <c r="N58" s="20" t="s">
        <v>83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</row>
    <row r="59" spans="1:226" x14ac:dyDescent="0.2">
      <c r="A59" s="65" t="s">
        <v>263</v>
      </c>
      <c r="B59" s="67">
        <v>24413357100</v>
      </c>
      <c r="C59" s="67"/>
      <c r="D59" s="65" t="s">
        <v>31</v>
      </c>
      <c r="E59" s="67"/>
      <c r="F59" s="68">
        <v>45903</v>
      </c>
      <c r="G59" s="68">
        <v>45903</v>
      </c>
      <c r="H59" s="65" t="s">
        <v>944</v>
      </c>
      <c r="I59" s="69">
        <v>43731.21</v>
      </c>
      <c r="J59" s="65" t="s">
        <v>44</v>
      </c>
      <c r="K59" s="65">
        <v>6251.2</v>
      </c>
      <c r="L59" s="65" t="s">
        <v>945</v>
      </c>
      <c r="M59" s="65" t="s">
        <v>751</v>
      </c>
      <c r="N59" s="70"/>
      <c r="O59" s="70"/>
    </row>
    <row r="60" spans="1:226" s="28" customFormat="1" x14ac:dyDescent="0.2">
      <c r="A60" s="46" t="s">
        <v>235</v>
      </c>
      <c r="B60" s="47">
        <v>7680022666</v>
      </c>
      <c r="C60" s="47"/>
      <c r="D60" s="46" t="s">
        <v>31</v>
      </c>
      <c r="E60" s="47">
        <v>1021061459054</v>
      </c>
      <c r="F60" s="48">
        <v>45681</v>
      </c>
      <c r="G60" s="48">
        <v>45681</v>
      </c>
      <c r="H60" s="46" t="s">
        <v>58</v>
      </c>
      <c r="I60" s="49">
        <v>42524.09</v>
      </c>
      <c r="J60" s="46" t="s">
        <v>20</v>
      </c>
      <c r="K60" s="46">
        <f>6074.89*0.6</f>
        <v>3644.9340000000002</v>
      </c>
      <c r="L60" s="46"/>
      <c r="M60" s="46" t="s">
        <v>191</v>
      </c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</row>
    <row r="61" spans="1:226" s="28" customFormat="1" x14ac:dyDescent="0.2">
      <c r="A61" s="22" t="s">
        <v>156</v>
      </c>
      <c r="B61" s="23">
        <v>26605894448</v>
      </c>
      <c r="C61" s="23"/>
      <c r="D61" s="22" t="s">
        <v>97</v>
      </c>
      <c r="E61" s="23" t="s">
        <v>426</v>
      </c>
      <c r="F61" s="24">
        <v>45513</v>
      </c>
      <c r="G61" s="24">
        <v>45884</v>
      </c>
      <c r="H61" s="22"/>
      <c r="I61" s="52">
        <v>40615.14</v>
      </c>
      <c r="J61" s="22" t="s">
        <v>19</v>
      </c>
      <c r="K61" s="22"/>
      <c r="L61" s="22"/>
      <c r="M61" s="22" t="s">
        <v>90</v>
      </c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</row>
    <row r="62" spans="1:226" s="28" customFormat="1" x14ac:dyDescent="0.2">
      <c r="A62" s="37" t="s">
        <v>450</v>
      </c>
      <c r="B62" s="36">
        <v>6211022844</v>
      </c>
      <c r="C62" s="36"/>
      <c r="D62" s="37" t="s">
        <v>27</v>
      </c>
      <c r="E62" s="36">
        <v>110119714</v>
      </c>
      <c r="F62" s="38">
        <v>45628</v>
      </c>
      <c r="G62" s="38">
        <v>45993</v>
      </c>
      <c r="H62" s="37" t="s">
        <v>546</v>
      </c>
      <c r="I62" s="43">
        <v>40550.86</v>
      </c>
      <c r="J62" s="37" t="s">
        <v>20</v>
      </c>
      <c r="K62" s="37">
        <v>3489.93</v>
      </c>
      <c r="L62" s="37"/>
      <c r="M62" s="37" t="s">
        <v>22</v>
      </c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</row>
    <row r="63" spans="1:226" s="64" customFormat="1" x14ac:dyDescent="0.2">
      <c r="A63" s="46" t="s">
        <v>255</v>
      </c>
      <c r="B63" s="47">
        <v>21043245494</v>
      </c>
      <c r="C63" s="47"/>
      <c r="D63" s="46" t="s">
        <v>97</v>
      </c>
      <c r="E63" s="47">
        <v>602000004391460</v>
      </c>
      <c r="F63" s="48">
        <v>45672</v>
      </c>
      <c r="G63" s="48">
        <v>46045</v>
      </c>
      <c r="H63" s="46"/>
      <c r="I63" s="49">
        <v>40159.83</v>
      </c>
      <c r="J63" s="46" t="s">
        <v>19</v>
      </c>
      <c r="K63" s="46">
        <v>8031.97</v>
      </c>
      <c r="L63" s="46"/>
      <c r="M63" s="46" t="s">
        <v>25</v>
      </c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</row>
    <row r="64" spans="1:226" s="28" customFormat="1" ht="13.8" customHeight="1" x14ac:dyDescent="0.2">
      <c r="A64" s="46" t="s">
        <v>693</v>
      </c>
      <c r="B64" s="47">
        <v>5960554050</v>
      </c>
      <c r="C64" s="47"/>
      <c r="D64" s="46" t="s">
        <v>27</v>
      </c>
      <c r="E64" s="47" t="s">
        <v>696</v>
      </c>
      <c r="F64" s="48"/>
      <c r="G64" s="48"/>
      <c r="H64" s="46" t="s">
        <v>692</v>
      </c>
      <c r="I64" s="49">
        <v>40078.239999999998</v>
      </c>
      <c r="J64" s="46" t="s">
        <v>19</v>
      </c>
      <c r="K64" s="71">
        <v>3633.18</v>
      </c>
      <c r="L64" s="46" t="s">
        <v>694</v>
      </c>
      <c r="M64" s="46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</row>
    <row r="65" spans="1:226" s="28" customFormat="1" x14ac:dyDescent="0.2">
      <c r="A65" s="37" t="s">
        <v>450</v>
      </c>
      <c r="B65" s="36">
        <v>6211022844</v>
      </c>
      <c r="C65" s="36"/>
      <c r="D65" s="37" t="s">
        <v>27</v>
      </c>
      <c r="E65" s="36">
        <v>899523234</v>
      </c>
      <c r="F65" s="38">
        <v>45992</v>
      </c>
      <c r="G65" s="38">
        <v>45993</v>
      </c>
      <c r="H65" s="37" t="s">
        <v>546</v>
      </c>
      <c r="I65" s="43">
        <v>38000.019999999997</v>
      </c>
      <c r="J65" s="37" t="s">
        <v>20</v>
      </c>
      <c r="K65" s="37">
        <v>3392.7</v>
      </c>
      <c r="L65" s="37"/>
      <c r="M65" s="37" t="s">
        <v>752</v>
      </c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</row>
    <row r="66" spans="1:226" s="28" customFormat="1" ht="13.8" customHeight="1" x14ac:dyDescent="0.2">
      <c r="A66" s="37" t="s">
        <v>13</v>
      </c>
      <c r="B66" s="36">
        <v>6211022844</v>
      </c>
      <c r="C66" s="36"/>
      <c r="D66" s="37" t="s">
        <v>27</v>
      </c>
      <c r="E66" s="36">
        <v>100000330439781</v>
      </c>
      <c r="F66" s="38">
        <v>45666</v>
      </c>
      <c r="G66" s="38">
        <v>46031</v>
      </c>
      <c r="H66" s="37" t="s">
        <v>53</v>
      </c>
      <c r="I66" s="43">
        <v>37322</v>
      </c>
      <c r="J66" s="37" t="s">
        <v>20</v>
      </c>
      <c r="K66" s="37">
        <v>3382.85</v>
      </c>
      <c r="L66" s="37" t="s">
        <v>618</v>
      </c>
      <c r="M66" s="37" t="s">
        <v>186</v>
      </c>
      <c r="N66" s="20" t="s">
        <v>83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</row>
    <row r="67" spans="1:226" s="28" customFormat="1" x14ac:dyDescent="0.2">
      <c r="A67" s="37" t="s">
        <v>13</v>
      </c>
      <c r="B67" s="36">
        <v>6211022844</v>
      </c>
      <c r="C67" s="36"/>
      <c r="D67" s="37" t="s">
        <v>27</v>
      </c>
      <c r="E67" s="36">
        <v>100000330448480</v>
      </c>
      <c r="F67" s="38">
        <v>45666</v>
      </c>
      <c r="G67" s="38">
        <v>46031</v>
      </c>
      <c r="H67" s="37" t="s">
        <v>54</v>
      </c>
      <c r="I67" s="43">
        <v>37322</v>
      </c>
      <c r="J67" s="37" t="s">
        <v>20</v>
      </c>
      <c r="K67" s="37">
        <v>3382.85</v>
      </c>
      <c r="L67" s="37" t="s">
        <v>619</v>
      </c>
      <c r="M67" s="37" t="s">
        <v>186</v>
      </c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</row>
    <row r="68" spans="1:226" s="21" customFormat="1" x14ac:dyDescent="0.2">
      <c r="A68" s="37" t="s">
        <v>13</v>
      </c>
      <c r="B68" s="36">
        <v>6211022844</v>
      </c>
      <c r="C68" s="36"/>
      <c r="D68" s="37" t="s">
        <v>27</v>
      </c>
      <c r="E68" s="36">
        <v>100000330448980</v>
      </c>
      <c r="F68" s="38">
        <v>45666</v>
      </c>
      <c r="G68" s="38">
        <v>46031</v>
      </c>
      <c r="H68" s="37" t="s">
        <v>55</v>
      </c>
      <c r="I68" s="43">
        <v>37322</v>
      </c>
      <c r="J68" s="37" t="s">
        <v>20</v>
      </c>
      <c r="K68" s="37">
        <v>3382.85</v>
      </c>
      <c r="L68" s="37" t="s">
        <v>620</v>
      </c>
      <c r="M68" s="37" t="s">
        <v>186</v>
      </c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</row>
    <row r="69" spans="1:226" s="28" customFormat="1" x14ac:dyDescent="0.2">
      <c r="A69" s="37" t="s">
        <v>450</v>
      </c>
      <c r="B69" s="36">
        <v>6211022844</v>
      </c>
      <c r="C69" s="36"/>
      <c r="D69" s="36" t="s">
        <v>27</v>
      </c>
      <c r="E69" s="37">
        <v>835767085</v>
      </c>
      <c r="F69" s="38">
        <v>45810</v>
      </c>
      <c r="G69" s="38">
        <v>45810</v>
      </c>
      <c r="H69" s="37" t="s">
        <v>843</v>
      </c>
      <c r="I69" s="43">
        <v>36751.99</v>
      </c>
      <c r="J69" s="36" t="s">
        <v>20</v>
      </c>
      <c r="K69" s="37">
        <v>3281.1</v>
      </c>
      <c r="L69" s="38" t="s">
        <v>847</v>
      </c>
      <c r="M69" s="36" t="s">
        <v>751</v>
      </c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</row>
    <row r="70" spans="1:226" s="28" customFormat="1" x14ac:dyDescent="0.2">
      <c r="A70" s="37" t="s">
        <v>450</v>
      </c>
      <c r="B70" s="36">
        <v>6211022844</v>
      </c>
      <c r="C70" s="36"/>
      <c r="D70" s="36" t="s">
        <v>27</v>
      </c>
      <c r="E70" s="37">
        <v>835768306</v>
      </c>
      <c r="F70" s="38">
        <v>45810</v>
      </c>
      <c r="G70" s="38">
        <v>45810</v>
      </c>
      <c r="H70" s="37" t="s">
        <v>842</v>
      </c>
      <c r="I70" s="43">
        <v>36751.99</v>
      </c>
      <c r="J70" s="36" t="s">
        <v>20</v>
      </c>
      <c r="K70" s="37">
        <v>3281.1</v>
      </c>
      <c r="L70" s="38" t="s">
        <v>848</v>
      </c>
      <c r="M70" s="36" t="s">
        <v>751</v>
      </c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</row>
    <row r="71" spans="1:226" s="64" customFormat="1" x14ac:dyDescent="0.2">
      <c r="A71" s="22" t="s">
        <v>235</v>
      </c>
      <c r="B71" s="23">
        <v>7680022666</v>
      </c>
      <c r="C71" s="23"/>
      <c r="D71" s="22" t="s">
        <v>27</v>
      </c>
      <c r="E71" s="22">
        <v>179858080</v>
      </c>
      <c r="F71" s="24">
        <v>45595</v>
      </c>
      <c r="G71" s="24">
        <v>45960</v>
      </c>
      <c r="H71" s="22" t="s">
        <v>506</v>
      </c>
      <c r="I71" s="52">
        <v>36690</v>
      </c>
      <c r="J71" s="22" t="s">
        <v>20</v>
      </c>
      <c r="K71" s="22">
        <f>3319.56*0.6</f>
        <v>1991.7359999999999</v>
      </c>
      <c r="L71" s="22" t="s">
        <v>501</v>
      </c>
      <c r="M71" s="22" t="s">
        <v>507</v>
      </c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</row>
    <row r="72" spans="1:226" s="28" customFormat="1" x14ac:dyDescent="0.2">
      <c r="A72" s="37" t="s">
        <v>401</v>
      </c>
      <c r="B72" s="36" t="s">
        <v>1013</v>
      </c>
      <c r="C72" s="36"/>
      <c r="D72" s="37" t="s">
        <v>1011</v>
      </c>
      <c r="E72" s="36">
        <v>3090603</v>
      </c>
      <c r="F72" s="38">
        <v>45996</v>
      </c>
      <c r="G72" s="38">
        <v>45996</v>
      </c>
      <c r="H72" s="37"/>
      <c r="I72" s="43">
        <v>36152</v>
      </c>
      <c r="J72" s="37" t="s">
        <v>20</v>
      </c>
      <c r="K72" s="37"/>
      <c r="L72" s="37"/>
      <c r="M72" s="37" t="s">
        <v>174</v>
      </c>
      <c r="N72" s="50">
        <v>32756</v>
      </c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</row>
    <row r="73" spans="1:226" s="21" customFormat="1" x14ac:dyDescent="0.2">
      <c r="A73" s="22" t="s">
        <v>263</v>
      </c>
      <c r="B73" s="23">
        <v>24413357100</v>
      </c>
      <c r="C73" s="23"/>
      <c r="D73" s="22" t="s">
        <v>31</v>
      </c>
      <c r="E73" s="23">
        <v>801730538</v>
      </c>
      <c r="F73" s="24">
        <v>45679</v>
      </c>
      <c r="G73" s="24">
        <v>45679</v>
      </c>
      <c r="H73" s="22" t="s">
        <v>264</v>
      </c>
      <c r="I73" s="52">
        <v>36048.230000000003</v>
      </c>
      <c r="J73" s="22" t="s">
        <v>44</v>
      </c>
      <c r="K73" s="22">
        <v>3110.97</v>
      </c>
      <c r="L73" s="22" t="s">
        <v>672</v>
      </c>
      <c r="M73" s="22" t="s">
        <v>877</v>
      </c>
      <c r="N73" s="20" t="s">
        <v>647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</row>
    <row r="74" spans="1:226" s="64" customFormat="1" x14ac:dyDescent="0.2">
      <c r="A74" s="37" t="s">
        <v>401</v>
      </c>
      <c r="B74" s="36">
        <v>99613829580</v>
      </c>
      <c r="C74" s="36"/>
      <c r="D74" s="37" t="s">
        <v>31</v>
      </c>
      <c r="E74" s="36">
        <v>307000182607414</v>
      </c>
      <c r="F74" s="38">
        <v>45869</v>
      </c>
      <c r="G74" s="38">
        <v>45869</v>
      </c>
      <c r="H74" s="37" t="s">
        <v>402</v>
      </c>
      <c r="I74" s="43">
        <v>34624.61</v>
      </c>
      <c r="J74" s="37" t="s">
        <v>20</v>
      </c>
      <c r="K74" s="37"/>
      <c r="L74" s="37" t="s">
        <v>403</v>
      </c>
      <c r="M74" s="37" t="s">
        <v>251</v>
      </c>
      <c r="N74" s="28" t="s">
        <v>405</v>
      </c>
      <c r="O74" s="28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</row>
    <row r="75" spans="1:226" s="21" customFormat="1" x14ac:dyDescent="0.2">
      <c r="A75" s="37" t="s">
        <v>13</v>
      </c>
      <c r="B75" s="36">
        <v>6211022844</v>
      </c>
      <c r="C75" s="36"/>
      <c r="D75" s="37" t="s">
        <v>27</v>
      </c>
      <c r="E75" s="36">
        <v>119830941</v>
      </c>
      <c r="F75" s="38">
        <v>45399</v>
      </c>
      <c r="G75" s="38"/>
      <c r="H75" s="37" t="s">
        <v>220</v>
      </c>
      <c r="I75" s="43">
        <v>34280.47</v>
      </c>
      <c r="J75" s="37" t="s">
        <v>20</v>
      </c>
      <c r="K75" s="37">
        <v>3060.76</v>
      </c>
      <c r="L75" s="37" t="s">
        <v>212</v>
      </c>
      <c r="M75" s="37" t="s">
        <v>190</v>
      </c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</row>
    <row r="76" spans="1:226" x14ac:dyDescent="0.2">
      <c r="A76" s="37" t="s">
        <v>207</v>
      </c>
      <c r="B76" s="36">
        <v>21572789810</v>
      </c>
      <c r="C76" s="36"/>
      <c r="D76" s="37" t="s">
        <v>155</v>
      </c>
      <c r="E76" s="36">
        <v>2689580</v>
      </c>
      <c r="F76" s="38">
        <v>45750</v>
      </c>
      <c r="G76" s="38">
        <v>45750</v>
      </c>
      <c r="H76" s="37"/>
      <c r="I76" s="43">
        <v>34013</v>
      </c>
      <c r="J76" s="37" t="s">
        <v>19</v>
      </c>
      <c r="K76" s="62">
        <v>5967.19</v>
      </c>
      <c r="L76" s="37" t="s">
        <v>753</v>
      </c>
      <c r="M76" s="37" t="s">
        <v>174</v>
      </c>
      <c r="N76" s="28"/>
      <c r="O76" s="28"/>
    </row>
    <row r="77" spans="1:226" s="21" customFormat="1" x14ac:dyDescent="0.2">
      <c r="A77" s="46" t="s">
        <v>13</v>
      </c>
      <c r="B77" s="47">
        <v>6211022844</v>
      </c>
      <c r="C77" s="47"/>
      <c r="D77" s="46" t="s">
        <v>27</v>
      </c>
      <c r="E77" s="47"/>
      <c r="F77" s="48">
        <v>45639</v>
      </c>
      <c r="G77" s="48">
        <v>46004</v>
      </c>
      <c r="H77" s="46" t="s">
        <v>11</v>
      </c>
      <c r="I77" s="49">
        <v>33991</v>
      </c>
      <c r="J77" s="46" t="s">
        <v>20</v>
      </c>
      <c r="K77" s="46">
        <v>3034.69</v>
      </c>
      <c r="L77" s="46" t="s">
        <v>561</v>
      </c>
      <c r="M77" s="46" t="s">
        <v>190</v>
      </c>
      <c r="N77" s="20" t="s">
        <v>565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</row>
    <row r="78" spans="1:226" x14ac:dyDescent="0.2">
      <c r="A78" s="37" t="s">
        <v>450</v>
      </c>
      <c r="B78" s="36">
        <v>6211022844</v>
      </c>
      <c r="C78" s="36"/>
      <c r="D78" s="37" t="s">
        <v>27</v>
      </c>
      <c r="E78" s="37">
        <v>832108333</v>
      </c>
      <c r="F78" s="38">
        <v>45775</v>
      </c>
      <c r="G78" s="38">
        <v>45775</v>
      </c>
      <c r="H78" s="37" t="s">
        <v>802</v>
      </c>
      <c r="I78" s="43">
        <v>33765.01</v>
      </c>
      <c r="J78" s="37" t="s">
        <v>20</v>
      </c>
      <c r="K78" s="65">
        <v>3014.44</v>
      </c>
      <c r="L78" s="37"/>
      <c r="M78" s="37" t="s">
        <v>751</v>
      </c>
      <c r="N78" s="28"/>
      <c r="O78" s="28"/>
    </row>
    <row r="79" spans="1:226" s="21" customFormat="1" x14ac:dyDescent="0.2">
      <c r="A79" s="37" t="s">
        <v>450</v>
      </c>
      <c r="B79" s="36">
        <v>6211022844</v>
      </c>
      <c r="C79" s="36"/>
      <c r="D79" s="37" t="s">
        <v>27</v>
      </c>
      <c r="E79" s="37">
        <v>827070375</v>
      </c>
      <c r="F79" s="38">
        <v>45761</v>
      </c>
      <c r="G79" s="38">
        <v>45771</v>
      </c>
      <c r="H79" s="37" t="s">
        <v>224</v>
      </c>
      <c r="I79" s="43">
        <v>33765</v>
      </c>
      <c r="J79" s="36" t="s">
        <v>20</v>
      </c>
      <c r="K79" s="37">
        <v>3014.44</v>
      </c>
      <c r="L79" s="37" t="s">
        <v>226</v>
      </c>
      <c r="M79" s="37" t="s">
        <v>752</v>
      </c>
      <c r="N79" s="28"/>
      <c r="O79" s="28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</row>
    <row r="80" spans="1:226" s="21" customFormat="1" x14ac:dyDescent="0.2">
      <c r="A80" s="37" t="s">
        <v>13</v>
      </c>
      <c r="B80" s="36">
        <v>6211022844</v>
      </c>
      <c r="C80" s="36"/>
      <c r="D80" s="37" t="s">
        <v>31</v>
      </c>
      <c r="E80" s="36">
        <v>122381029</v>
      </c>
      <c r="F80" s="38">
        <v>45588</v>
      </c>
      <c r="G80" s="38">
        <v>45962</v>
      </c>
      <c r="H80" s="37" t="s">
        <v>499</v>
      </c>
      <c r="I80" s="43">
        <v>33534.19</v>
      </c>
      <c r="J80" s="37" t="s">
        <v>20</v>
      </c>
      <c r="K80" s="37">
        <v>4611.57</v>
      </c>
      <c r="L80" s="37" t="s">
        <v>500</v>
      </c>
      <c r="M80" s="37" t="s">
        <v>190</v>
      </c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</row>
    <row r="81" spans="1:226" s="28" customFormat="1" x14ac:dyDescent="0.2">
      <c r="A81" s="37" t="s">
        <v>450</v>
      </c>
      <c r="B81" s="36">
        <v>6211022844</v>
      </c>
      <c r="C81" s="36"/>
      <c r="D81" s="37" t="s">
        <v>27</v>
      </c>
      <c r="E81" s="36"/>
      <c r="F81" s="38">
        <v>45923</v>
      </c>
      <c r="G81" s="38">
        <v>45925</v>
      </c>
      <c r="H81" s="37" t="s">
        <v>449</v>
      </c>
      <c r="I81" s="43">
        <v>32296</v>
      </c>
      <c r="J81" s="37" t="s">
        <v>20</v>
      </c>
      <c r="K81" s="37">
        <v>2883.29</v>
      </c>
      <c r="L81" s="37" t="s">
        <v>454</v>
      </c>
      <c r="M81" s="37" t="s">
        <v>757</v>
      </c>
      <c r="N81" s="28" t="s">
        <v>456</v>
      </c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</row>
    <row r="82" spans="1:226" s="21" customFormat="1" x14ac:dyDescent="0.2">
      <c r="A82" s="37" t="s">
        <v>13</v>
      </c>
      <c r="B82" s="36">
        <v>6211022844</v>
      </c>
      <c r="C82" s="36"/>
      <c r="D82" s="37" t="s">
        <v>27</v>
      </c>
      <c r="E82" s="36">
        <v>891884989</v>
      </c>
      <c r="F82" s="38">
        <v>45966</v>
      </c>
      <c r="G82" s="38">
        <v>45967</v>
      </c>
      <c r="H82" s="37" t="s">
        <v>519</v>
      </c>
      <c r="I82" s="43">
        <v>31432.99</v>
      </c>
      <c r="J82" s="37" t="s">
        <v>20</v>
      </c>
      <c r="K82" s="37">
        <v>2806.24</v>
      </c>
      <c r="L82" s="65" t="s">
        <v>521</v>
      </c>
      <c r="M82" s="37"/>
      <c r="N82" s="28"/>
      <c r="O82" s="28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</row>
    <row r="83" spans="1:226" s="21" customFormat="1" x14ac:dyDescent="0.2">
      <c r="A83" s="37" t="s">
        <v>13</v>
      </c>
      <c r="B83" s="36">
        <v>6211022844</v>
      </c>
      <c r="C83" s="36"/>
      <c r="D83" s="37" t="s">
        <v>27</v>
      </c>
      <c r="E83" s="36">
        <v>891887022</v>
      </c>
      <c r="F83" s="38">
        <v>45964</v>
      </c>
      <c r="G83" s="38">
        <v>45967</v>
      </c>
      <c r="H83" s="37" t="s">
        <v>520</v>
      </c>
      <c r="I83" s="43">
        <v>31432.99</v>
      </c>
      <c r="J83" s="37" t="s">
        <v>20</v>
      </c>
      <c r="K83" s="37">
        <v>2806.24</v>
      </c>
      <c r="L83" s="65" t="s">
        <v>522</v>
      </c>
      <c r="M83" s="37"/>
      <c r="N83" s="28"/>
      <c r="O83" s="28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</row>
    <row r="84" spans="1:226" s="28" customFormat="1" x14ac:dyDescent="0.2">
      <c r="A84" s="37" t="s">
        <v>450</v>
      </c>
      <c r="B84" s="36">
        <v>6211022844</v>
      </c>
      <c r="C84" s="36"/>
      <c r="D84" s="36" t="s">
        <v>27</v>
      </c>
      <c r="E84" s="36">
        <v>835761789</v>
      </c>
      <c r="F84" s="38">
        <v>45810</v>
      </c>
      <c r="G84" s="38">
        <v>45810</v>
      </c>
      <c r="H84" s="37" t="s">
        <v>841</v>
      </c>
      <c r="I84" s="43">
        <v>29400.99</v>
      </c>
      <c r="J84" s="36" t="s">
        <v>20</v>
      </c>
      <c r="K84" s="37">
        <v>2624.83</v>
      </c>
      <c r="L84" s="38" t="s">
        <v>844</v>
      </c>
      <c r="M84" s="36" t="s">
        <v>751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</row>
    <row r="85" spans="1:226" s="28" customFormat="1" x14ac:dyDescent="0.2">
      <c r="A85" s="37" t="s">
        <v>450</v>
      </c>
      <c r="B85" s="36">
        <v>6211022844</v>
      </c>
      <c r="C85" s="36"/>
      <c r="D85" s="36" t="s">
        <v>27</v>
      </c>
      <c r="E85" s="37">
        <v>835765754</v>
      </c>
      <c r="F85" s="38">
        <v>45810</v>
      </c>
      <c r="G85" s="38">
        <v>45810</v>
      </c>
      <c r="H85" s="37" t="s">
        <v>839</v>
      </c>
      <c r="I85" s="43">
        <v>29400.99</v>
      </c>
      <c r="J85" s="36" t="s">
        <v>20</v>
      </c>
      <c r="K85" s="37">
        <v>2624.83</v>
      </c>
      <c r="L85" s="38" t="s">
        <v>846</v>
      </c>
      <c r="M85" s="36" t="s">
        <v>751</v>
      </c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</row>
    <row r="86" spans="1:226" x14ac:dyDescent="0.2">
      <c r="A86" s="39" t="s">
        <v>450</v>
      </c>
      <c r="B86" s="40">
        <v>6211022844</v>
      </c>
      <c r="C86" s="40"/>
      <c r="D86" s="39" t="s">
        <v>27</v>
      </c>
      <c r="E86" s="40">
        <v>801276110</v>
      </c>
      <c r="F86" s="41">
        <v>45680</v>
      </c>
      <c r="G86" s="41">
        <v>45681</v>
      </c>
      <c r="H86" s="39" t="s">
        <v>85</v>
      </c>
      <c r="I86" s="42">
        <v>28833.99</v>
      </c>
      <c r="J86" s="39" t="s">
        <v>20</v>
      </c>
      <c r="K86" s="39"/>
      <c r="L86" s="39" t="s">
        <v>642</v>
      </c>
      <c r="M86" s="39" t="s">
        <v>875</v>
      </c>
      <c r="N86" s="20" t="s">
        <v>646</v>
      </c>
    </row>
    <row r="87" spans="1:226" x14ac:dyDescent="0.2">
      <c r="A87" s="37" t="s">
        <v>427</v>
      </c>
      <c r="B87" s="37">
        <v>32651086966</v>
      </c>
      <c r="C87" s="36">
        <v>5417694225</v>
      </c>
      <c r="D87" s="37" t="s">
        <v>97</v>
      </c>
      <c r="E87" s="36">
        <v>2758824</v>
      </c>
      <c r="F87" s="38">
        <v>45526</v>
      </c>
      <c r="G87" s="38">
        <v>45891</v>
      </c>
      <c r="H87" s="37"/>
      <c r="I87" s="43">
        <v>28332</v>
      </c>
      <c r="J87" s="37" t="s">
        <v>19</v>
      </c>
      <c r="K87" s="63">
        <v>4473.47</v>
      </c>
      <c r="L87" s="37"/>
      <c r="M87" s="37" t="s">
        <v>174</v>
      </c>
      <c r="N87" s="20" t="s">
        <v>428</v>
      </c>
    </row>
    <row r="88" spans="1:226" s="28" customFormat="1" x14ac:dyDescent="0.2">
      <c r="A88" s="37" t="s">
        <v>13</v>
      </c>
      <c r="B88" s="36">
        <v>6211022844</v>
      </c>
      <c r="C88" s="36"/>
      <c r="D88" s="37" t="s">
        <v>27</v>
      </c>
      <c r="E88" s="36">
        <v>100000303571269</v>
      </c>
      <c r="F88" s="38">
        <v>45602</v>
      </c>
      <c r="G88" s="38">
        <v>45967</v>
      </c>
      <c r="H88" s="37" t="s">
        <v>519</v>
      </c>
      <c r="I88" s="43">
        <v>28317.200000000001</v>
      </c>
      <c r="J88" s="37" t="s">
        <v>20</v>
      </c>
      <c r="K88" s="37">
        <v>2544.6</v>
      </c>
      <c r="L88" s="65" t="s">
        <v>521</v>
      </c>
      <c r="M88" s="37" t="s">
        <v>186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</row>
    <row r="89" spans="1:226" s="28" customFormat="1" x14ac:dyDescent="0.2">
      <c r="A89" s="37" t="s">
        <v>13</v>
      </c>
      <c r="B89" s="36">
        <v>6211022844</v>
      </c>
      <c r="C89" s="36"/>
      <c r="D89" s="37" t="s">
        <v>27</v>
      </c>
      <c r="E89" s="36">
        <v>100000303571474</v>
      </c>
      <c r="F89" s="38">
        <v>45602</v>
      </c>
      <c r="G89" s="38">
        <v>45967</v>
      </c>
      <c r="H89" s="37" t="s">
        <v>520</v>
      </c>
      <c r="I89" s="43">
        <v>28317.200000000001</v>
      </c>
      <c r="J89" s="37" t="s">
        <v>20</v>
      </c>
      <c r="K89" s="37">
        <v>2544.6</v>
      </c>
      <c r="L89" s="65" t="s">
        <v>522</v>
      </c>
      <c r="M89" s="37" t="s">
        <v>186</v>
      </c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</row>
    <row r="90" spans="1:226" s="28" customFormat="1" x14ac:dyDescent="0.2">
      <c r="A90" s="37" t="s">
        <v>450</v>
      </c>
      <c r="B90" s="36">
        <v>6211022844</v>
      </c>
      <c r="C90" s="36"/>
      <c r="D90" s="37" t="s">
        <v>27</v>
      </c>
      <c r="E90" s="36">
        <v>105376707</v>
      </c>
      <c r="F90" s="38">
        <v>45559</v>
      </c>
      <c r="G90" s="38">
        <v>45923</v>
      </c>
      <c r="H90" s="37" t="s">
        <v>448</v>
      </c>
      <c r="I90" s="43">
        <v>28187.34</v>
      </c>
      <c r="J90" s="37" t="s">
        <v>20</v>
      </c>
      <c r="K90" s="37">
        <v>2026.72</v>
      </c>
      <c r="L90" s="37" t="s">
        <v>453</v>
      </c>
      <c r="M90" s="37" t="s">
        <v>22</v>
      </c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</row>
    <row r="91" spans="1:226" s="21" customFormat="1" x14ac:dyDescent="0.2">
      <c r="A91" s="22" t="s">
        <v>98</v>
      </c>
      <c r="B91" s="23">
        <v>21040245558</v>
      </c>
      <c r="C91" s="23">
        <v>5325410396</v>
      </c>
      <c r="D91" s="22" t="s">
        <v>97</v>
      </c>
      <c r="E91" s="23">
        <v>1067334123</v>
      </c>
      <c r="F91" s="24">
        <v>45344</v>
      </c>
      <c r="G91" s="24"/>
      <c r="H91" s="22"/>
      <c r="I91" s="52">
        <v>27038</v>
      </c>
      <c r="J91" s="22" t="s">
        <v>19</v>
      </c>
      <c r="K91" s="23">
        <v>2440</v>
      </c>
      <c r="L91" s="22"/>
      <c r="M91" s="22" t="s">
        <v>140</v>
      </c>
      <c r="N91" s="20" t="s">
        <v>468</v>
      </c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</row>
    <row r="92" spans="1:226" s="28" customFormat="1" x14ac:dyDescent="0.2">
      <c r="A92" s="39" t="s">
        <v>235</v>
      </c>
      <c r="B92" s="40">
        <v>7680022666</v>
      </c>
      <c r="C92" s="40"/>
      <c r="D92" s="39" t="s">
        <v>27</v>
      </c>
      <c r="E92" s="40">
        <v>801382894</v>
      </c>
      <c r="F92" s="41">
        <v>45677</v>
      </c>
      <c r="G92" s="41">
        <v>45680</v>
      </c>
      <c r="H92" s="72" t="s">
        <v>58</v>
      </c>
      <c r="I92" s="42">
        <v>26708.799999999999</v>
      </c>
      <c r="J92" s="39" t="s">
        <v>20</v>
      </c>
      <c r="K92" s="39"/>
      <c r="L92" s="39" t="s">
        <v>639</v>
      </c>
      <c r="M92" s="39" t="s">
        <v>875</v>
      </c>
      <c r="N92" s="20" t="s">
        <v>646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</row>
    <row r="93" spans="1:226" s="28" customFormat="1" x14ac:dyDescent="0.2">
      <c r="A93" s="63" t="s">
        <v>813</v>
      </c>
      <c r="B93" s="36">
        <v>18242468410</v>
      </c>
      <c r="C93" s="36">
        <v>5397885190</v>
      </c>
      <c r="D93" s="63" t="s">
        <v>31</v>
      </c>
      <c r="E93" s="36">
        <v>351000079927947</v>
      </c>
      <c r="F93" s="38">
        <v>45786</v>
      </c>
      <c r="G93" s="38">
        <v>45786</v>
      </c>
      <c r="H93" s="37" t="s">
        <v>812</v>
      </c>
      <c r="I93" s="43">
        <v>26535.29</v>
      </c>
      <c r="J93" s="37" t="s">
        <v>19</v>
      </c>
      <c r="K93" s="37">
        <v>3790.76</v>
      </c>
      <c r="L93" s="37" t="s">
        <v>814</v>
      </c>
      <c r="M93" s="37" t="s">
        <v>172</v>
      </c>
      <c r="N93" s="50">
        <v>30436</v>
      </c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</row>
    <row r="94" spans="1:226" s="21" customFormat="1" x14ac:dyDescent="0.2">
      <c r="A94" s="37" t="s">
        <v>1021</v>
      </c>
      <c r="B94" s="36">
        <v>21082244182</v>
      </c>
      <c r="C94" s="36"/>
      <c r="D94" s="37" t="s">
        <v>97</v>
      </c>
      <c r="E94" s="36">
        <v>602000001572396</v>
      </c>
      <c r="F94" s="38">
        <v>45315</v>
      </c>
      <c r="G94" s="38">
        <v>45681</v>
      </c>
      <c r="H94" s="36"/>
      <c r="I94" s="43">
        <v>26388.58</v>
      </c>
      <c r="J94" s="37" t="s">
        <v>74</v>
      </c>
      <c r="K94" s="37">
        <v>5266.36</v>
      </c>
      <c r="L94" s="38" t="s">
        <v>258</v>
      </c>
      <c r="M94" s="37" t="s">
        <v>25</v>
      </c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</row>
    <row r="95" spans="1:226" s="28" customFormat="1" ht="22.8" x14ac:dyDescent="0.2">
      <c r="A95" s="37" t="s">
        <v>78</v>
      </c>
      <c r="B95" s="36"/>
      <c r="C95" s="36"/>
      <c r="D95" s="37" t="s">
        <v>97</v>
      </c>
      <c r="E95" s="73" t="s">
        <v>613</v>
      </c>
      <c r="F95" s="38">
        <v>45664</v>
      </c>
      <c r="G95" s="38">
        <v>46029</v>
      </c>
      <c r="H95" s="37"/>
      <c r="I95" s="43">
        <v>25478</v>
      </c>
      <c r="J95" s="37" t="s">
        <v>44</v>
      </c>
      <c r="K95" s="37">
        <v>3821.7</v>
      </c>
      <c r="L95" s="37"/>
      <c r="M95" s="37" t="s">
        <v>174</v>
      </c>
      <c r="N95" s="27">
        <v>32309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</row>
    <row r="96" spans="1:226" s="28" customFormat="1" x14ac:dyDescent="0.2">
      <c r="A96" s="37" t="s">
        <v>13</v>
      </c>
      <c r="B96" s="36">
        <v>6211022844</v>
      </c>
      <c r="C96" s="36"/>
      <c r="D96" s="37" t="s">
        <v>27</v>
      </c>
      <c r="E96" s="36">
        <v>120017876</v>
      </c>
      <c r="F96" s="38">
        <v>45406</v>
      </c>
      <c r="G96" s="38">
        <v>45777</v>
      </c>
      <c r="H96" s="37" t="s">
        <v>223</v>
      </c>
      <c r="I96" s="43">
        <v>24869.42</v>
      </c>
      <c r="J96" s="37" t="s">
        <v>20</v>
      </c>
      <c r="K96" s="37">
        <v>2220.48</v>
      </c>
      <c r="L96" s="37" t="s">
        <v>225</v>
      </c>
      <c r="M96" s="37" t="s">
        <v>190</v>
      </c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</row>
    <row r="97" spans="1:226" s="21" customFormat="1" x14ac:dyDescent="0.2">
      <c r="A97" s="37" t="s">
        <v>13</v>
      </c>
      <c r="B97" s="36">
        <v>6211022844</v>
      </c>
      <c r="C97" s="36"/>
      <c r="D97" s="37" t="s">
        <v>27</v>
      </c>
      <c r="E97" s="36">
        <v>120018019</v>
      </c>
      <c r="F97" s="38">
        <v>45406</v>
      </c>
      <c r="G97" s="38">
        <v>45777</v>
      </c>
      <c r="H97" s="37" t="s">
        <v>224</v>
      </c>
      <c r="I97" s="43">
        <v>24869.42</v>
      </c>
      <c r="J97" s="37" t="s">
        <v>20</v>
      </c>
      <c r="K97" s="37">
        <v>2220.48</v>
      </c>
      <c r="L97" s="37" t="s">
        <v>226</v>
      </c>
      <c r="M97" s="37" t="s">
        <v>190</v>
      </c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</row>
    <row r="98" spans="1:226" x14ac:dyDescent="0.2">
      <c r="A98" s="37" t="s">
        <v>263</v>
      </c>
      <c r="B98" s="36">
        <v>24413357100</v>
      </c>
      <c r="C98" s="36"/>
      <c r="D98" s="37" t="s">
        <v>27</v>
      </c>
      <c r="E98" s="36">
        <v>100000384813966</v>
      </c>
      <c r="F98" s="17">
        <v>45827</v>
      </c>
      <c r="G98" s="17">
        <v>45827</v>
      </c>
      <c r="H98" s="37" t="s">
        <v>862</v>
      </c>
      <c r="I98" s="43">
        <v>24795.81</v>
      </c>
      <c r="J98" s="37" t="s">
        <v>44</v>
      </c>
      <c r="K98" s="37">
        <v>2260.14</v>
      </c>
      <c r="L98" s="37"/>
      <c r="M98" s="37" t="s">
        <v>186</v>
      </c>
      <c r="N98" s="28"/>
      <c r="O98" s="28"/>
    </row>
    <row r="99" spans="1:226" x14ac:dyDescent="0.2">
      <c r="A99" s="74" t="s">
        <v>450</v>
      </c>
      <c r="B99" s="75">
        <v>6211022844</v>
      </c>
      <c r="C99" s="75"/>
      <c r="D99" s="74" t="s">
        <v>27</v>
      </c>
      <c r="E99" s="75">
        <v>832121809</v>
      </c>
      <c r="F99" s="76">
        <v>45966</v>
      </c>
      <c r="G99" s="76"/>
      <c r="H99" s="77" t="s">
        <v>803</v>
      </c>
      <c r="I99" s="78">
        <v>24568.32</v>
      </c>
      <c r="J99" s="74" t="s">
        <v>20</v>
      </c>
      <c r="K99" s="77">
        <v>-2193.38</v>
      </c>
      <c r="L99" s="74"/>
      <c r="M99" s="74" t="s">
        <v>752</v>
      </c>
      <c r="N99" s="79"/>
      <c r="O99" s="79"/>
    </row>
    <row r="100" spans="1:226" x14ac:dyDescent="0.2">
      <c r="A100" s="65" t="s">
        <v>120</v>
      </c>
      <c r="B100" s="36">
        <v>43720717988</v>
      </c>
      <c r="C100" s="36"/>
      <c r="D100" s="36" t="s">
        <v>31</v>
      </c>
      <c r="E100" s="36">
        <v>100000381269857</v>
      </c>
      <c r="F100" s="38">
        <v>45818</v>
      </c>
      <c r="G100" s="38">
        <v>45818</v>
      </c>
      <c r="H100" s="63" t="s">
        <v>374</v>
      </c>
      <c r="I100" s="43">
        <v>24274.12</v>
      </c>
      <c r="J100" s="63" t="s">
        <v>19</v>
      </c>
      <c r="K100" s="37">
        <v>3467.73</v>
      </c>
      <c r="L100" s="37" t="s">
        <v>375</v>
      </c>
      <c r="M100" s="37" t="s">
        <v>186</v>
      </c>
      <c r="N100" s="27">
        <v>31990</v>
      </c>
    </row>
    <row r="101" spans="1:226" x14ac:dyDescent="0.2">
      <c r="A101" s="37" t="s">
        <v>893</v>
      </c>
      <c r="B101" s="36">
        <v>3181295542</v>
      </c>
      <c r="C101" s="36"/>
      <c r="D101" s="37" t="s">
        <v>31</v>
      </c>
      <c r="E101" s="36">
        <v>351000089754307</v>
      </c>
      <c r="F101" s="38">
        <v>45876</v>
      </c>
      <c r="G101" s="38">
        <v>45876</v>
      </c>
      <c r="H101" s="37" t="s">
        <v>894</v>
      </c>
      <c r="I101" s="43">
        <v>24081</v>
      </c>
      <c r="J101" s="37" t="s">
        <v>44</v>
      </c>
      <c r="K101" s="63">
        <v>3688.53</v>
      </c>
      <c r="L101" s="37" t="s">
        <v>895</v>
      </c>
      <c r="M101" s="37" t="s">
        <v>25</v>
      </c>
      <c r="N101" s="28"/>
      <c r="O101" s="28"/>
    </row>
    <row r="102" spans="1:226" x14ac:dyDescent="0.2">
      <c r="A102" s="22" t="s">
        <v>799</v>
      </c>
      <c r="B102" s="23">
        <v>51058081626</v>
      </c>
      <c r="C102" s="23">
        <v>5325525060</v>
      </c>
      <c r="D102" s="22" t="s">
        <v>31</v>
      </c>
      <c r="E102" s="23">
        <v>236540516</v>
      </c>
      <c r="F102" s="24">
        <v>45882</v>
      </c>
      <c r="G102" s="24">
        <v>45882</v>
      </c>
      <c r="H102" s="22" t="s">
        <v>874</v>
      </c>
      <c r="I102" s="52">
        <v>24015.78</v>
      </c>
      <c r="J102" s="22" t="s">
        <v>44</v>
      </c>
      <c r="K102" s="80">
        <f>3430*0.6</f>
        <v>2058</v>
      </c>
      <c r="L102" s="22" t="s">
        <v>873</v>
      </c>
      <c r="M102" s="22" t="s">
        <v>905</v>
      </c>
      <c r="N102" s="81">
        <v>27169</v>
      </c>
      <c r="O102" s="21"/>
    </row>
    <row r="103" spans="1:226" x14ac:dyDescent="0.2">
      <c r="A103" s="37" t="s">
        <v>13</v>
      </c>
      <c r="B103" s="36">
        <v>6211022844</v>
      </c>
      <c r="C103" s="36"/>
      <c r="D103" s="37" t="s">
        <v>27</v>
      </c>
      <c r="E103" s="36">
        <v>93331271</v>
      </c>
      <c r="F103" s="38">
        <v>45315</v>
      </c>
      <c r="G103" s="38"/>
      <c r="H103" s="37" t="s">
        <v>87</v>
      </c>
      <c r="I103" s="43">
        <v>23804.48</v>
      </c>
      <c r="J103" s="37" t="s">
        <v>20</v>
      </c>
      <c r="K103" s="37">
        <v>2125.4</v>
      </c>
      <c r="L103" s="37"/>
      <c r="M103" s="37" t="s">
        <v>22</v>
      </c>
      <c r="N103" s="20" t="s">
        <v>83</v>
      </c>
    </row>
    <row r="104" spans="1:226" s="28" customFormat="1" x14ac:dyDescent="0.2">
      <c r="A104" s="37" t="s">
        <v>13</v>
      </c>
      <c r="B104" s="36">
        <v>6211022844</v>
      </c>
      <c r="C104" s="36"/>
      <c r="D104" s="37" t="s">
        <v>27</v>
      </c>
      <c r="E104" s="36">
        <v>93526583</v>
      </c>
      <c r="F104" s="38">
        <v>45304</v>
      </c>
      <c r="G104" s="38"/>
      <c r="H104" s="37" t="s">
        <v>77</v>
      </c>
      <c r="I104" s="43">
        <v>23552.42</v>
      </c>
      <c r="J104" s="37" t="s">
        <v>20</v>
      </c>
      <c r="K104" s="37">
        <v>2114.92</v>
      </c>
      <c r="L104" s="37" t="s">
        <v>76</v>
      </c>
      <c r="M104" s="37" t="s">
        <v>22</v>
      </c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</row>
    <row r="105" spans="1:226" s="21" customFormat="1" x14ac:dyDescent="0.2">
      <c r="A105" s="37" t="s">
        <v>450</v>
      </c>
      <c r="B105" s="36">
        <v>6211022844</v>
      </c>
      <c r="C105" s="36"/>
      <c r="D105" s="37" t="s">
        <v>27</v>
      </c>
      <c r="E105" s="36">
        <v>105376482</v>
      </c>
      <c r="F105" s="38">
        <v>45557</v>
      </c>
      <c r="G105" s="38">
        <v>45923</v>
      </c>
      <c r="H105" s="37" t="s">
        <v>446</v>
      </c>
      <c r="I105" s="43">
        <v>23461.32</v>
      </c>
      <c r="J105" s="37" t="s">
        <v>20</v>
      </c>
      <c r="K105" s="37">
        <v>2108.65</v>
      </c>
      <c r="L105" s="37" t="s">
        <v>451</v>
      </c>
      <c r="M105" s="37" t="s">
        <v>22</v>
      </c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</row>
    <row r="106" spans="1:226" s="28" customFormat="1" ht="13.8" customHeight="1" x14ac:dyDescent="0.2">
      <c r="A106" s="22" t="s">
        <v>918</v>
      </c>
      <c r="B106" s="23">
        <v>45973985336</v>
      </c>
      <c r="C106" s="23">
        <v>1415814917</v>
      </c>
      <c r="D106" s="22" t="s">
        <v>27</v>
      </c>
      <c r="E106" s="23">
        <v>1415814917</v>
      </c>
      <c r="F106" s="24">
        <v>45885</v>
      </c>
      <c r="G106" s="24">
        <v>45885</v>
      </c>
      <c r="H106" s="22" t="s">
        <v>919</v>
      </c>
      <c r="I106" s="52">
        <v>23078.18</v>
      </c>
      <c r="J106" s="22" t="s">
        <v>44</v>
      </c>
      <c r="K106" s="22">
        <f>2100.4*0.6</f>
        <v>1260.24</v>
      </c>
      <c r="L106" s="22" t="s">
        <v>920</v>
      </c>
      <c r="M106" s="22" t="s">
        <v>179</v>
      </c>
      <c r="N106" s="21" t="s">
        <v>921</v>
      </c>
      <c r="O106" s="21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</row>
    <row r="107" spans="1:226" s="28" customFormat="1" x14ac:dyDescent="0.2">
      <c r="A107" s="37" t="s">
        <v>450</v>
      </c>
      <c r="B107" s="36">
        <v>6211022844</v>
      </c>
      <c r="C107" s="36"/>
      <c r="D107" s="37" t="s">
        <v>27</v>
      </c>
      <c r="E107" s="36">
        <v>105376593</v>
      </c>
      <c r="F107" s="38">
        <v>45558</v>
      </c>
      <c r="G107" s="38">
        <v>45923</v>
      </c>
      <c r="H107" s="37" t="s">
        <v>447</v>
      </c>
      <c r="I107" s="43">
        <v>22549.65</v>
      </c>
      <c r="J107" s="37" t="s">
        <v>20</v>
      </c>
      <c r="K107" s="37">
        <v>2533.42</v>
      </c>
      <c r="L107" s="37" t="s">
        <v>452</v>
      </c>
      <c r="M107" s="37" t="s">
        <v>22</v>
      </c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</row>
    <row r="108" spans="1:226" s="28" customFormat="1" x14ac:dyDescent="0.2">
      <c r="A108" s="37" t="s">
        <v>361</v>
      </c>
      <c r="B108" s="36">
        <v>21320072164</v>
      </c>
      <c r="C108" s="36">
        <v>5345972931</v>
      </c>
      <c r="D108" s="37" t="s">
        <v>97</v>
      </c>
      <c r="E108" s="36">
        <v>602000005220524</v>
      </c>
      <c r="F108" s="38">
        <v>45755</v>
      </c>
      <c r="G108" s="38">
        <v>45755</v>
      </c>
      <c r="H108" s="37"/>
      <c r="I108" s="43">
        <v>22347.599999999999</v>
      </c>
      <c r="J108" s="37" t="s">
        <v>44</v>
      </c>
      <c r="K108" s="37">
        <v>4469.5200000000004</v>
      </c>
      <c r="L108" s="37"/>
      <c r="M108" s="37" t="s">
        <v>25</v>
      </c>
      <c r="N108" s="28" t="s">
        <v>763</v>
      </c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</row>
    <row r="109" spans="1:226" x14ac:dyDescent="0.2">
      <c r="A109" s="35" t="s">
        <v>677</v>
      </c>
      <c r="B109" s="82">
        <v>19703341952</v>
      </c>
      <c r="C109" s="82"/>
      <c r="D109" s="35" t="s">
        <v>31</v>
      </c>
      <c r="E109" s="35">
        <v>1051802025</v>
      </c>
      <c r="F109" s="83">
        <v>45691</v>
      </c>
      <c r="G109" s="83">
        <v>45691</v>
      </c>
      <c r="H109" s="35" t="s">
        <v>418</v>
      </c>
      <c r="I109" s="84">
        <v>21790</v>
      </c>
      <c r="J109" s="35" t="s">
        <v>44</v>
      </c>
      <c r="K109" s="85">
        <f>3135.01*0.6</f>
        <v>1881.0060000000001</v>
      </c>
      <c r="L109" s="35"/>
      <c r="M109" s="35" t="s">
        <v>140</v>
      </c>
      <c r="N109" s="44"/>
      <c r="O109" s="44"/>
    </row>
    <row r="110" spans="1:226" s="21" customFormat="1" x14ac:dyDescent="0.2">
      <c r="A110" s="65" t="s">
        <v>450</v>
      </c>
      <c r="B110" s="67">
        <v>6211022844</v>
      </c>
      <c r="C110" s="67"/>
      <c r="D110" s="65" t="s">
        <v>27</v>
      </c>
      <c r="E110" s="67">
        <v>874750187</v>
      </c>
      <c r="F110" s="68">
        <v>45911</v>
      </c>
      <c r="G110" s="68">
        <v>45911</v>
      </c>
      <c r="H110" s="65" t="s">
        <v>445</v>
      </c>
      <c r="I110" s="69">
        <v>21407.99</v>
      </c>
      <c r="J110" s="65" t="s">
        <v>237</v>
      </c>
      <c r="K110" s="86">
        <v>1911.24</v>
      </c>
      <c r="L110" s="65"/>
      <c r="M110" s="37" t="s">
        <v>752</v>
      </c>
      <c r="N110" s="70"/>
      <c r="O110" s="7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</row>
    <row r="111" spans="1:226" s="28" customFormat="1" x14ac:dyDescent="0.2">
      <c r="A111" s="37" t="s">
        <v>450</v>
      </c>
      <c r="B111" s="36">
        <v>6211022844</v>
      </c>
      <c r="C111" s="36"/>
      <c r="D111" s="37" t="s">
        <v>27</v>
      </c>
      <c r="E111" s="36">
        <v>866587743</v>
      </c>
      <c r="F111" s="38">
        <v>45881</v>
      </c>
      <c r="G111" s="38">
        <v>45881</v>
      </c>
      <c r="H111" s="37" t="s">
        <v>916</v>
      </c>
      <c r="I111" s="43">
        <v>21103.95</v>
      </c>
      <c r="J111" s="37" t="s">
        <v>20</v>
      </c>
      <c r="K111" s="63">
        <v>1884.1</v>
      </c>
      <c r="L111" s="37"/>
      <c r="M111" s="37" t="s">
        <v>752</v>
      </c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</row>
    <row r="112" spans="1:226" s="64" customFormat="1" x14ac:dyDescent="0.2">
      <c r="A112" s="37" t="s">
        <v>516</v>
      </c>
      <c r="B112" s="36">
        <v>51643635586</v>
      </c>
      <c r="C112" s="36"/>
      <c r="D112" s="37" t="s">
        <v>27</v>
      </c>
      <c r="E112" s="36">
        <v>110330295</v>
      </c>
      <c r="F112" s="38">
        <v>45630</v>
      </c>
      <c r="G112" s="38">
        <v>45995</v>
      </c>
      <c r="H112" s="37" t="s">
        <v>517</v>
      </c>
      <c r="I112" s="43">
        <v>20911.71</v>
      </c>
      <c r="J112" s="37" t="s">
        <v>19</v>
      </c>
      <c r="K112" s="37">
        <v>1908.51</v>
      </c>
      <c r="L112" s="37" t="s">
        <v>518</v>
      </c>
      <c r="M112" s="37" t="s">
        <v>22</v>
      </c>
      <c r="N112" s="20" t="s">
        <v>550</v>
      </c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</row>
    <row r="113" spans="1:226" s="28" customFormat="1" x14ac:dyDescent="0.2">
      <c r="A113" s="37" t="s">
        <v>893</v>
      </c>
      <c r="B113" s="36">
        <v>3181295542</v>
      </c>
      <c r="C113" s="36"/>
      <c r="D113" s="37" t="s">
        <v>27</v>
      </c>
      <c r="E113" s="36">
        <v>311000469558357</v>
      </c>
      <c r="F113" s="38">
        <v>45876</v>
      </c>
      <c r="G113" s="38">
        <v>45876</v>
      </c>
      <c r="H113" s="37" t="s">
        <v>894</v>
      </c>
      <c r="I113" s="43">
        <v>20661</v>
      </c>
      <c r="J113" s="37" t="s">
        <v>44</v>
      </c>
      <c r="K113" s="63">
        <v>1869.73</v>
      </c>
      <c r="L113" s="37" t="s">
        <v>895</v>
      </c>
      <c r="M113" s="37" t="s">
        <v>251</v>
      </c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</row>
    <row r="114" spans="1:226" s="28" customFormat="1" x14ac:dyDescent="0.2">
      <c r="A114" s="22" t="s">
        <v>23</v>
      </c>
      <c r="B114" s="23">
        <v>26533896866</v>
      </c>
      <c r="C114" s="23"/>
      <c r="D114" s="22" t="s">
        <v>97</v>
      </c>
      <c r="E114" s="23">
        <v>1071008717988</v>
      </c>
      <c r="F114" s="24">
        <v>45736</v>
      </c>
      <c r="G114" s="24">
        <v>45742</v>
      </c>
      <c r="H114" s="22"/>
      <c r="I114" s="52">
        <v>20650.330000000002</v>
      </c>
      <c r="J114" s="22" t="s">
        <v>19</v>
      </c>
      <c r="K114" s="66">
        <f>2115.63*0.6</f>
        <v>1269.3779999999999</v>
      </c>
      <c r="L114" s="22"/>
      <c r="M114" s="22" t="s">
        <v>191</v>
      </c>
      <c r="N114" s="20" t="s">
        <v>192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</row>
    <row r="115" spans="1:226" x14ac:dyDescent="0.2">
      <c r="A115" s="37" t="s">
        <v>13</v>
      </c>
      <c r="B115" s="36">
        <v>6211022844</v>
      </c>
      <c r="C115" s="36"/>
      <c r="D115" s="37" t="s">
        <v>27</v>
      </c>
      <c r="E115" s="36">
        <v>93313477</v>
      </c>
      <c r="F115" s="38">
        <v>45300</v>
      </c>
      <c r="G115" s="38"/>
      <c r="H115" s="37" t="s">
        <v>53</v>
      </c>
      <c r="I115" s="43">
        <v>20508.32</v>
      </c>
      <c r="J115" s="37" t="s">
        <v>20</v>
      </c>
      <c r="K115" s="37">
        <v>1831.32</v>
      </c>
      <c r="L115" s="37"/>
      <c r="M115" s="37" t="s">
        <v>47</v>
      </c>
      <c r="N115" s="20" t="s">
        <v>83</v>
      </c>
    </row>
    <row r="116" spans="1:226" s="28" customFormat="1" x14ac:dyDescent="0.2">
      <c r="A116" s="37" t="s">
        <v>13</v>
      </c>
      <c r="B116" s="36">
        <v>6211022844</v>
      </c>
      <c r="C116" s="36"/>
      <c r="D116" s="37" t="s">
        <v>27</v>
      </c>
      <c r="E116" s="36">
        <v>93315049</v>
      </c>
      <c r="F116" s="38">
        <v>45300</v>
      </c>
      <c r="G116" s="38"/>
      <c r="H116" s="37" t="s">
        <v>54</v>
      </c>
      <c r="I116" s="43">
        <v>20508.32</v>
      </c>
      <c r="J116" s="37" t="s">
        <v>20</v>
      </c>
      <c r="K116" s="37">
        <v>1831.32</v>
      </c>
      <c r="L116" s="37"/>
      <c r="M116" s="37" t="s">
        <v>47</v>
      </c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</row>
    <row r="117" spans="1:226" s="21" customFormat="1" x14ac:dyDescent="0.2">
      <c r="A117" s="37" t="s">
        <v>13</v>
      </c>
      <c r="B117" s="36">
        <v>6211022844</v>
      </c>
      <c r="C117" s="36"/>
      <c r="D117" s="37" t="s">
        <v>27</v>
      </c>
      <c r="E117" s="36">
        <v>93314848</v>
      </c>
      <c r="F117" s="38">
        <v>45300</v>
      </c>
      <c r="G117" s="38"/>
      <c r="H117" s="37" t="s">
        <v>55</v>
      </c>
      <c r="I117" s="43">
        <v>20508.32</v>
      </c>
      <c r="J117" s="37" t="s">
        <v>20</v>
      </c>
      <c r="K117" s="37">
        <v>1831.32</v>
      </c>
      <c r="L117" s="37"/>
      <c r="M117" s="37" t="s">
        <v>47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</row>
    <row r="118" spans="1:226" s="87" customFormat="1" x14ac:dyDescent="0.2">
      <c r="A118" s="37" t="s">
        <v>13</v>
      </c>
      <c r="B118" s="36">
        <v>6211022844</v>
      </c>
      <c r="C118" s="36"/>
      <c r="D118" s="37" t="s">
        <v>27</v>
      </c>
      <c r="E118" s="36">
        <v>93330263</v>
      </c>
      <c r="F118" s="38">
        <v>45315</v>
      </c>
      <c r="G118" s="38"/>
      <c r="H118" s="36" t="s">
        <v>82</v>
      </c>
      <c r="I118" s="43">
        <v>20508.32</v>
      </c>
      <c r="J118" s="37" t="s">
        <v>20</v>
      </c>
      <c r="K118" s="37">
        <v>1831.1</v>
      </c>
      <c r="L118" s="37"/>
      <c r="M118" s="37" t="s">
        <v>22</v>
      </c>
      <c r="N118" s="20" t="s">
        <v>83</v>
      </c>
      <c r="O118" s="20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34"/>
      <c r="FG118" s="34"/>
      <c r="FH118" s="34"/>
      <c r="FI118" s="34"/>
      <c r="FJ118" s="34"/>
      <c r="FK118" s="34"/>
      <c r="FL118" s="34"/>
      <c r="FM118" s="34"/>
      <c r="FN118" s="34"/>
      <c r="FO118" s="34"/>
      <c r="FP118" s="34"/>
      <c r="FQ118" s="34"/>
      <c r="FR118" s="34"/>
      <c r="FS118" s="34"/>
      <c r="FT118" s="34"/>
      <c r="FU118" s="34"/>
      <c r="FV118" s="34"/>
      <c r="FW118" s="34"/>
      <c r="FX118" s="34"/>
      <c r="FY118" s="34"/>
      <c r="FZ118" s="34"/>
      <c r="GA118" s="34"/>
      <c r="GB118" s="34"/>
      <c r="GC118" s="34"/>
      <c r="GD118" s="34"/>
      <c r="GE118" s="34"/>
      <c r="GF118" s="34"/>
      <c r="GG118" s="34"/>
      <c r="GH118" s="34"/>
      <c r="GI118" s="34"/>
      <c r="GJ118" s="34"/>
      <c r="GK118" s="34"/>
      <c r="GL118" s="34"/>
      <c r="GM118" s="34"/>
      <c r="GN118" s="34"/>
      <c r="GO118" s="34"/>
      <c r="GP118" s="34"/>
      <c r="GQ118" s="34"/>
      <c r="GR118" s="34"/>
      <c r="GS118" s="34"/>
      <c r="GT118" s="34"/>
      <c r="GU118" s="34"/>
      <c r="GV118" s="34"/>
      <c r="GW118" s="34"/>
      <c r="GX118" s="34"/>
      <c r="GY118" s="34"/>
      <c r="GZ118" s="34"/>
      <c r="HA118" s="34"/>
      <c r="HB118" s="34"/>
      <c r="HC118" s="34"/>
      <c r="HD118" s="34"/>
      <c r="HE118" s="34"/>
      <c r="HF118" s="34"/>
      <c r="HG118" s="34"/>
      <c r="HH118" s="34"/>
      <c r="HI118" s="34"/>
      <c r="HJ118" s="34"/>
      <c r="HK118" s="34"/>
      <c r="HL118" s="34"/>
      <c r="HM118" s="34"/>
      <c r="HN118" s="34"/>
      <c r="HO118" s="34"/>
      <c r="HP118" s="34"/>
      <c r="HQ118" s="34"/>
      <c r="HR118" s="34"/>
    </row>
    <row r="119" spans="1:226" s="87" customFormat="1" x14ac:dyDescent="0.2">
      <c r="A119" s="37" t="s">
        <v>13</v>
      </c>
      <c r="B119" s="36">
        <v>6211022844</v>
      </c>
      <c r="C119" s="36"/>
      <c r="D119" s="37" t="s">
        <v>27</v>
      </c>
      <c r="E119" s="36">
        <v>93331609</v>
      </c>
      <c r="F119" s="38">
        <v>45315</v>
      </c>
      <c r="G119" s="38"/>
      <c r="H119" s="37" t="s">
        <v>85</v>
      </c>
      <c r="I119" s="43">
        <v>20508.32</v>
      </c>
      <c r="J119" s="37" t="s">
        <v>20</v>
      </c>
      <c r="K119" s="37">
        <v>1831.1</v>
      </c>
      <c r="L119" s="37"/>
      <c r="M119" s="37" t="s">
        <v>22</v>
      </c>
      <c r="N119" s="20" t="s">
        <v>83</v>
      </c>
      <c r="O119" s="20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  <c r="FE119" s="34"/>
      <c r="FF119" s="34"/>
      <c r="FG119" s="34"/>
      <c r="FH119" s="34"/>
      <c r="FI119" s="34"/>
      <c r="FJ119" s="34"/>
      <c r="FK119" s="34"/>
      <c r="FL119" s="34"/>
      <c r="FM119" s="34"/>
      <c r="FN119" s="34"/>
      <c r="FO119" s="34"/>
      <c r="FP119" s="34"/>
      <c r="FQ119" s="34"/>
      <c r="FR119" s="34"/>
      <c r="FS119" s="34"/>
      <c r="FT119" s="34"/>
      <c r="FU119" s="34"/>
      <c r="FV119" s="34"/>
      <c r="FW119" s="34"/>
      <c r="FX119" s="34"/>
      <c r="FY119" s="34"/>
      <c r="FZ119" s="34"/>
      <c r="GA119" s="34"/>
      <c r="GB119" s="34"/>
      <c r="GC119" s="34"/>
      <c r="GD119" s="34"/>
      <c r="GE119" s="34"/>
      <c r="GF119" s="34"/>
      <c r="GG119" s="34"/>
      <c r="GH119" s="34"/>
      <c r="GI119" s="34"/>
      <c r="GJ119" s="34"/>
      <c r="GK119" s="34"/>
      <c r="GL119" s="34"/>
      <c r="GM119" s="34"/>
      <c r="GN119" s="34"/>
      <c r="GO119" s="34"/>
      <c r="GP119" s="34"/>
      <c r="GQ119" s="34"/>
      <c r="GR119" s="34"/>
      <c r="GS119" s="34"/>
      <c r="GT119" s="34"/>
      <c r="GU119" s="34"/>
      <c r="GV119" s="34"/>
      <c r="GW119" s="34"/>
      <c r="GX119" s="34"/>
      <c r="GY119" s="34"/>
      <c r="GZ119" s="34"/>
      <c r="HA119" s="34"/>
      <c r="HB119" s="34"/>
      <c r="HC119" s="34"/>
      <c r="HD119" s="34"/>
      <c r="HE119" s="34"/>
      <c r="HF119" s="34"/>
      <c r="HG119" s="34"/>
      <c r="HH119" s="34"/>
      <c r="HI119" s="34"/>
      <c r="HJ119" s="34"/>
      <c r="HK119" s="34"/>
      <c r="HL119" s="34"/>
      <c r="HM119" s="34"/>
      <c r="HN119" s="34"/>
      <c r="HO119" s="34"/>
      <c r="HP119" s="34"/>
      <c r="HQ119" s="34"/>
      <c r="HR119" s="34"/>
    </row>
    <row r="120" spans="1:226" s="87" customFormat="1" x14ac:dyDescent="0.2">
      <c r="A120" s="37" t="s">
        <v>450</v>
      </c>
      <c r="B120" s="36">
        <v>6211022844</v>
      </c>
      <c r="C120" s="36"/>
      <c r="D120" s="37" t="s">
        <v>1015</v>
      </c>
      <c r="E120" s="36">
        <v>826724206</v>
      </c>
      <c r="F120" s="38">
        <v>45758</v>
      </c>
      <c r="G120" s="38">
        <v>45995</v>
      </c>
      <c r="H120" s="37" t="s">
        <v>778</v>
      </c>
      <c r="I120" s="43">
        <v>20275.240000000002</v>
      </c>
      <c r="J120" s="37" t="s">
        <v>20</v>
      </c>
      <c r="K120" s="37">
        <v>1544.78</v>
      </c>
      <c r="L120" s="37" t="s">
        <v>779</v>
      </c>
      <c r="M120" s="37" t="s">
        <v>752</v>
      </c>
      <c r="N120" s="28" t="s">
        <v>950</v>
      </c>
      <c r="O120" s="20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34"/>
      <c r="FG120" s="34"/>
      <c r="FH120" s="34"/>
      <c r="FI120" s="34"/>
      <c r="FJ120" s="34"/>
      <c r="FK120" s="34"/>
      <c r="FL120" s="34"/>
      <c r="FM120" s="34"/>
      <c r="FN120" s="34"/>
      <c r="FO120" s="34"/>
      <c r="FP120" s="34"/>
      <c r="FQ120" s="34"/>
      <c r="FR120" s="34"/>
      <c r="FS120" s="34"/>
      <c r="FT120" s="34"/>
      <c r="FU120" s="34"/>
      <c r="FV120" s="34"/>
      <c r="FW120" s="34"/>
      <c r="FX120" s="34"/>
      <c r="FY120" s="34"/>
      <c r="FZ120" s="34"/>
      <c r="GA120" s="34"/>
      <c r="GB120" s="34"/>
      <c r="GC120" s="34"/>
      <c r="GD120" s="34"/>
      <c r="GE120" s="34"/>
      <c r="GF120" s="34"/>
      <c r="GG120" s="34"/>
      <c r="GH120" s="34"/>
      <c r="GI120" s="34"/>
      <c r="GJ120" s="34"/>
      <c r="GK120" s="34"/>
      <c r="GL120" s="34"/>
      <c r="GM120" s="34"/>
      <c r="GN120" s="34"/>
      <c r="GO120" s="34"/>
      <c r="GP120" s="34"/>
      <c r="GQ120" s="34"/>
      <c r="GR120" s="34"/>
      <c r="GS120" s="34"/>
      <c r="GT120" s="34"/>
      <c r="GU120" s="34"/>
      <c r="GV120" s="34"/>
      <c r="GW120" s="34"/>
      <c r="GX120" s="34"/>
      <c r="GY120" s="34"/>
      <c r="GZ120" s="34"/>
      <c r="HA120" s="34"/>
      <c r="HB120" s="34"/>
      <c r="HC120" s="34"/>
      <c r="HD120" s="34"/>
      <c r="HE120" s="34"/>
      <c r="HF120" s="34"/>
      <c r="HG120" s="34"/>
      <c r="HH120" s="34"/>
      <c r="HI120" s="34"/>
      <c r="HJ120" s="34"/>
      <c r="HK120" s="34"/>
      <c r="HL120" s="34"/>
      <c r="HM120" s="34"/>
      <c r="HN120" s="34"/>
      <c r="HO120" s="34"/>
      <c r="HP120" s="34"/>
      <c r="HQ120" s="34"/>
      <c r="HR120" s="34"/>
    </row>
    <row r="121" spans="1:226" s="88" customFormat="1" x14ac:dyDescent="0.2">
      <c r="A121" s="37" t="s">
        <v>450</v>
      </c>
      <c r="B121" s="36">
        <v>6211022844</v>
      </c>
      <c r="C121" s="36"/>
      <c r="D121" s="37" t="s">
        <v>1015</v>
      </c>
      <c r="E121" s="36">
        <v>826726015</v>
      </c>
      <c r="F121" s="38">
        <v>45758</v>
      </c>
      <c r="G121" s="38">
        <v>45995</v>
      </c>
      <c r="H121" s="37" t="s">
        <v>773</v>
      </c>
      <c r="I121" s="43">
        <v>20275.240000000002</v>
      </c>
      <c r="J121" s="37" t="s">
        <v>20</v>
      </c>
      <c r="K121" s="37">
        <v>1544.78</v>
      </c>
      <c r="L121" s="37" t="s">
        <v>780</v>
      </c>
      <c r="M121" s="37" t="s">
        <v>752</v>
      </c>
      <c r="N121" s="28" t="s">
        <v>950</v>
      </c>
      <c r="O121" s="20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4"/>
      <c r="FQ121" s="34"/>
      <c r="FR121" s="34"/>
      <c r="FS121" s="34"/>
      <c r="FT121" s="34"/>
      <c r="FU121" s="34"/>
      <c r="FV121" s="34"/>
      <c r="FW121" s="34"/>
      <c r="FX121" s="34"/>
      <c r="FY121" s="34"/>
      <c r="FZ121" s="34"/>
      <c r="GA121" s="34"/>
      <c r="GB121" s="34"/>
      <c r="GC121" s="34"/>
      <c r="GD121" s="34"/>
      <c r="GE121" s="34"/>
      <c r="GF121" s="34"/>
      <c r="GG121" s="34"/>
      <c r="GH121" s="34"/>
      <c r="GI121" s="34"/>
      <c r="GJ121" s="34"/>
      <c r="GK121" s="34"/>
      <c r="GL121" s="34"/>
      <c r="GM121" s="34"/>
      <c r="GN121" s="34"/>
      <c r="GO121" s="34"/>
      <c r="GP121" s="34"/>
      <c r="GQ121" s="34"/>
      <c r="GR121" s="34"/>
      <c r="GS121" s="34"/>
      <c r="GT121" s="34"/>
      <c r="GU121" s="34"/>
      <c r="GV121" s="34"/>
      <c r="GW121" s="34"/>
      <c r="GX121" s="34"/>
      <c r="GY121" s="34"/>
      <c r="GZ121" s="34"/>
      <c r="HA121" s="34"/>
      <c r="HB121" s="34"/>
      <c r="HC121" s="34"/>
      <c r="HD121" s="34"/>
      <c r="HE121" s="34"/>
      <c r="HF121" s="34"/>
      <c r="HG121" s="34"/>
      <c r="HH121" s="34"/>
      <c r="HI121" s="34"/>
      <c r="HJ121" s="34"/>
      <c r="HK121" s="34"/>
      <c r="HL121" s="34"/>
      <c r="HM121" s="34"/>
      <c r="HN121" s="34"/>
      <c r="HO121" s="34"/>
      <c r="HP121" s="34"/>
      <c r="HQ121" s="34"/>
      <c r="HR121" s="34"/>
    </row>
    <row r="122" spans="1:226" s="34" customFormat="1" x14ac:dyDescent="0.2">
      <c r="A122" s="37" t="s">
        <v>450</v>
      </c>
      <c r="B122" s="36">
        <v>6211022844</v>
      </c>
      <c r="C122" s="36"/>
      <c r="D122" s="37" t="s">
        <v>1015</v>
      </c>
      <c r="E122" s="55">
        <v>826727573</v>
      </c>
      <c r="F122" s="38">
        <v>45758</v>
      </c>
      <c r="G122" s="38">
        <v>45995</v>
      </c>
      <c r="H122" s="37" t="s">
        <v>774</v>
      </c>
      <c r="I122" s="43">
        <v>20275.240000000002</v>
      </c>
      <c r="J122" s="37" t="s">
        <v>20</v>
      </c>
      <c r="K122" s="37">
        <v>1544.78</v>
      </c>
      <c r="L122" s="37" t="s">
        <v>781</v>
      </c>
      <c r="M122" s="37" t="s">
        <v>752</v>
      </c>
      <c r="N122" s="28" t="s">
        <v>950</v>
      </c>
      <c r="O122" s="20"/>
    </row>
    <row r="123" spans="1:226" s="34" customFormat="1" x14ac:dyDescent="0.2">
      <c r="A123" s="37" t="s">
        <v>78</v>
      </c>
      <c r="B123" s="36">
        <v>31598117634</v>
      </c>
      <c r="C123" s="36"/>
      <c r="D123" s="37" t="s">
        <v>27</v>
      </c>
      <c r="E123" s="36">
        <v>113082331</v>
      </c>
      <c r="F123" s="38">
        <v>45671</v>
      </c>
      <c r="G123" s="38">
        <v>46037</v>
      </c>
      <c r="H123" s="37" t="s">
        <v>79</v>
      </c>
      <c r="I123" s="43">
        <v>20246.52</v>
      </c>
      <c r="J123" s="37" t="s">
        <v>19</v>
      </c>
      <c r="K123" s="37">
        <v>1835.39</v>
      </c>
      <c r="L123" s="37" t="s">
        <v>621</v>
      </c>
      <c r="M123" s="37" t="s">
        <v>22</v>
      </c>
      <c r="N123" s="27" t="s">
        <v>624</v>
      </c>
      <c r="O123" s="20"/>
    </row>
    <row r="124" spans="1:226" s="87" customFormat="1" x14ac:dyDescent="0.2">
      <c r="A124" s="22" t="s">
        <v>492</v>
      </c>
      <c r="B124" s="23">
        <v>21527791318</v>
      </c>
      <c r="C124" s="23">
        <v>5398547154</v>
      </c>
      <c r="D124" s="22" t="s">
        <v>97</v>
      </c>
      <c r="E124" s="23">
        <v>1071008101021</v>
      </c>
      <c r="F124" s="24">
        <v>45580</v>
      </c>
      <c r="G124" s="24">
        <v>45945</v>
      </c>
      <c r="H124" s="22"/>
      <c r="I124" s="52">
        <v>20209.71</v>
      </c>
      <c r="J124" s="22" t="s">
        <v>44</v>
      </c>
      <c r="K124" s="22">
        <v>2425.16</v>
      </c>
      <c r="L124" s="22"/>
      <c r="M124" s="22" t="s">
        <v>191</v>
      </c>
      <c r="N124" s="20" t="s">
        <v>495</v>
      </c>
      <c r="O124" s="20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  <c r="FE124" s="34"/>
      <c r="FF124" s="34"/>
      <c r="FG124" s="34"/>
      <c r="FH124" s="34"/>
      <c r="FI124" s="34"/>
      <c r="FJ124" s="34"/>
      <c r="FK124" s="34"/>
      <c r="FL124" s="34"/>
      <c r="FM124" s="34"/>
      <c r="FN124" s="34"/>
      <c r="FO124" s="34"/>
      <c r="FP124" s="34"/>
      <c r="FQ124" s="34"/>
      <c r="FR124" s="34"/>
      <c r="FS124" s="34"/>
      <c r="FT124" s="34"/>
      <c r="FU124" s="34"/>
      <c r="FV124" s="34"/>
      <c r="FW124" s="34"/>
      <c r="FX124" s="34"/>
      <c r="FY124" s="34"/>
      <c r="FZ124" s="34"/>
      <c r="GA124" s="34"/>
      <c r="GB124" s="34"/>
      <c r="GC124" s="34"/>
      <c r="GD124" s="34"/>
      <c r="GE124" s="34"/>
      <c r="GF124" s="34"/>
      <c r="GG124" s="34"/>
      <c r="GH124" s="34"/>
      <c r="GI124" s="34"/>
      <c r="GJ124" s="34"/>
      <c r="GK124" s="34"/>
      <c r="GL124" s="34"/>
      <c r="GM124" s="34"/>
      <c r="GN124" s="34"/>
      <c r="GO124" s="34"/>
      <c r="GP124" s="34"/>
      <c r="GQ124" s="34"/>
      <c r="GR124" s="34"/>
      <c r="GS124" s="34"/>
      <c r="GT124" s="34"/>
      <c r="GU124" s="34"/>
      <c r="GV124" s="34"/>
      <c r="GW124" s="34"/>
      <c r="GX124" s="34"/>
      <c r="GY124" s="34"/>
      <c r="GZ124" s="34"/>
      <c r="HA124" s="34"/>
      <c r="HB124" s="34"/>
      <c r="HC124" s="34"/>
      <c r="HD124" s="34"/>
      <c r="HE124" s="34"/>
      <c r="HF124" s="34"/>
      <c r="HG124" s="34"/>
      <c r="HH124" s="34"/>
      <c r="HI124" s="34"/>
      <c r="HJ124" s="34"/>
      <c r="HK124" s="34"/>
      <c r="HL124" s="34"/>
      <c r="HM124" s="34"/>
      <c r="HN124" s="34"/>
      <c r="HO124" s="34"/>
      <c r="HP124" s="34"/>
      <c r="HQ124" s="34"/>
      <c r="HR124" s="34"/>
    </row>
    <row r="125" spans="1:226" s="87" customFormat="1" x14ac:dyDescent="0.2">
      <c r="A125" s="37" t="s">
        <v>13</v>
      </c>
      <c r="B125" s="36">
        <v>6211022844</v>
      </c>
      <c r="C125" s="36"/>
      <c r="D125" s="37" t="s">
        <v>27</v>
      </c>
      <c r="E125" s="36">
        <v>301000060789027</v>
      </c>
      <c r="F125" s="38">
        <v>45273</v>
      </c>
      <c r="G125" s="38"/>
      <c r="H125" s="37" t="s">
        <v>11</v>
      </c>
      <c r="I125" s="43">
        <v>19964.5</v>
      </c>
      <c r="J125" s="37" t="s">
        <v>20</v>
      </c>
      <c r="K125" s="37">
        <v>1782.28</v>
      </c>
      <c r="L125" s="37" t="s">
        <v>561</v>
      </c>
      <c r="M125" s="37" t="s">
        <v>25</v>
      </c>
      <c r="N125" s="20"/>
      <c r="O125" s="20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  <c r="FE125" s="34"/>
      <c r="FF125" s="34"/>
      <c r="FG125" s="34"/>
      <c r="FH125" s="34"/>
      <c r="FI125" s="34"/>
      <c r="FJ125" s="34"/>
      <c r="FK125" s="34"/>
      <c r="FL125" s="34"/>
      <c r="FM125" s="34"/>
      <c r="FN125" s="34"/>
      <c r="FO125" s="34"/>
      <c r="FP125" s="34"/>
      <c r="FQ125" s="34"/>
      <c r="FR125" s="34"/>
      <c r="FS125" s="34"/>
      <c r="FT125" s="34"/>
      <c r="FU125" s="34"/>
      <c r="FV125" s="34"/>
      <c r="FW125" s="34"/>
      <c r="FX125" s="34"/>
      <c r="FY125" s="34"/>
      <c r="FZ125" s="34"/>
      <c r="GA125" s="34"/>
      <c r="GB125" s="34"/>
      <c r="GC125" s="34"/>
      <c r="GD125" s="34"/>
      <c r="GE125" s="34"/>
      <c r="GF125" s="34"/>
      <c r="GG125" s="34"/>
      <c r="GH125" s="34"/>
      <c r="GI125" s="34"/>
      <c r="GJ125" s="34"/>
      <c r="GK125" s="34"/>
      <c r="GL125" s="34"/>
      <c r="GM125" s="34"/>
      <c r="GN125" s="34"/>
      <c r="GO125" s="34"/>
      <c r="GP125" s="34"/>
      <c r="GQ125" s="34"/>
      <c r="GR125" s="34"/>
      <c r="GS125" s="34"/>
      <c r="GT125" s="34"/>
      <c r="GU125" s="34"/>
      <c r="GV125" s="34"/>
      <c r="GW125" s="34"/>
      <c r="GX125" s="34"/>
      <c r="GY125" s="34"/>
      <c r="GZ125" s="34"/>
      <c r="HA125" s="34"/>
      <c r="HB125" s="34"/>
      <c r="HC125" s="34"/>
      <c r="HD125" s="34"/>
      <c r="HE125" s="34"/>
      <c r="HF125" s="34"/>
      <c r="HG125" s="34"/>
      <c r="HH125" s="34"/>
      <c r="HI125" s="34"/>
      <c r="HJ125" s="34"/>
      <c r="HK125" s="34"/>
      <c r="HL125" s="34"/>
      <c r="HM125" s="34"/>
      <c r="HN125" s="34"/>
      <c r="HO125" s="34"/>
      <c r="HP125" s="34"/>
      <c r="HQ125" s="34"/>
      <c r="HR125" s="34"/>
    </row>
    <row r="126" spans="1:226" s="87" customFormat="1" x14ac:dyDescent="0.2">
      <c r="A126" s="65" t="s">
        <v>263</v>
      </c>
      <c r="B126" s="67">
        <v>24413357100</v>
      </c>
      <c r="C126" s="67"/>
      <c r="D126" s="65" t="s">
        <v>27</v>
      </c>
      <c r="E126" s="67">
        <v>100000421609611</v>
      </c>
      <c r="F126" s="68">
        <v>45902</v>
      </c>
      <c r="G126" s="68">
        <v>45902</v>
      </c>
      <c r="H126" s="65" t="s">
        <v>944</v>
      </c>
      <c r="I126" s="69">
        <v>19871.32</v>
      </c>
      <c r="J126" s="65" t="s">
        <v>44</v>
      </c>
      <c r="K126" s="65">
        <v>1811.27</v>
      </c>
      <c r="L126" s="65" t="s">
        <v>945</v>
      </c>
      <c r="M126" s="65" t="s">
        <v>186</v>
      </c>
      <c r="N126" s="70"/>
      <c r="O126" s="70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  <c r="FE126" s="34"/>
      <c r="FF126" s="34"/>
      <c r="FG126" s="34"/>
      <c r="FH126" s="34"/>
      <c r="FI126" s="34"/>
      <c r="FJ126" s="34"/>
      <c r="FK126" s="34"/>
      <c r="FL126" s="34"/>
      <c r="FM126" s="34"/>
      <c r="FN126" s="34"/>
      <c r="FO126" s="34"/>
      <c r="FP126" s="34"/>
      <c r="FQ126" s="34"/>
      <c r="FR126" s="34"/>
      <c r="FS126" s="34"/>
      <c r="FT126" s="34"/>
      <c r="FU126" s="34"/>
      <c r="FV126" s="34"/>
      <c r="FW126" s="34"/>
      <c r="FX126" s="34"/>
      <c r="FY126" s="34"/>
      <c r="FZ126" s="34"/>
      <c r="GA126" s="34"/>
      <c r="GB126" s="34"/>
      <c r="GC126" s="34"/>
      <c r="GD126" s="34"/>
      <c r="GE126" s="34"/>
      <c r="GF126" s="34"/>
      <c r="GG126" s="34"/>
      <c r="GH126" s="34"/>
      <c r="GI126" s="34"/>
      <c r="GJ126" s="34"/>
      <c r="GK126" s="34"/>
      <c r="GL126" s="34"/>
      <c r="GM126" s="34"/>
      <c r="GN126" s="34"/>
      <c r="GO126" s="34"/>
      <c r="GP126" s="34"/>
      <c r="GQ126" s="34"/>
      <c r="GR126" s="34"/>
      <c r="GS126" s="34"/>
      <c r="GT126" s="34"/>
      <c r="GU126" s="34"/>
      <c r="GV126" s="34"/>
      <c r="GW126" s="34"/>
      <c r="GX126" s="34"/>
      <c r="GY126" s="34"/>
      <c r="GZ126" s="34"/>
      <c r="HA126" s="34"/>
      <c r="HB126" s="34"/>
      <c r="HC126" s="34"/>
      <c r="HD126" s="34"/>
      <c r="HE126" s="34"/>
      <c r="HF126" s="34"/>
      <c r="HG126" s="34"/>
      <c r="HH126" s="34"/>
      <c r="HI126" s="34"/>
      <c r="HJ126" s="34"/>
      <c r="HK126" s="34"/>
      <c r="HL126" s="34"/>
      <c r="HM126" s="34"/>
      <c r="HN126" s="34"/>
      <c r="HO126" s="34"/>
      <c r="HP126" s="34"/>
      <c r="HQ126" s="34"/>
      <c r="HR126" s="34"/>
    </row>
    <row r="127" spans="1:226" s="87" customFormat="1" x14ac:dyDescent="0.2">
      <c r="A127" s="37" t="s">
        <v>607</v>
      </c>
      <c r="B127" s="36">
        <v>15785037950</v>
      </c>
      <c r="C127" s="36"/>
      <c r="D127" s="37" t="s">
        <v>27</v>
      </c>
      <c r="E127" s="36">
        <v>100000330050064</v>
      </c>
      <c r="F127" s="38">
        <v>45662</v>
      </c>
      <c r="G127" s="38">
        <v>45662</v>
      </c>
      <c r="H127" s="37" t="s">
        <v>608</v>
      </c>
      <c r="I127" s="43">
        <v>19777.97</v>
      </c>
      <c r="J127" s="37" t="s">
        <v>44</v>
      </c>
      <c r="K127" s="37">
        <v>1803.28</v>
      </c>
      <c r="L127" s="37" t="s">
        <v>606</v>
      </c>
      <c r="M127" s="37" t="s">
        <v>186</v>
      </c>
      <c r="N127" s="20" t="s">
        <v>611</v>
      </c>
      <c r="O127" s="20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  <c r="FE127" s="34"/>
      <c r="FF127" s="34"/>
      <c r="FG127" s="34"/>
      <c r="FH127" s="34"/>
      <c r="FI127" s="34"/>
      <c r="FJ127" s="34"/>
      <c r="FK127" s="34"/>
      <c r="FL127" s="34"/>
      <c r="FM127" s="34"/>
      <c r="FN127" s="34"/>
      <c r="FO127" s="34"/>
      <c r="FP127" s="34"/>
      <c r="FQ127" s="34"/>
      <c r="FR127" s="34"/>
      <c r="FS127" s="34"/>
      <c r="FT127" s="34"/>
      <c r="FU127" s="34"/>
      <c r="FV127" s="34"/>
      <c r="FW127" s="34"/>
      <c r="FX127" s="34"/>
      <c r="FY127" s="34"/>
      <c r="FZ127" s="34"/>
      <c r="GA127" s="34"/>
      <c r="GB127" s="34"/>
      <c r="GC127" s="34"/>
      <c r="GD127" s="34"/>
      <c r="GE127" s="34"/>
      <c r="GF127" s="34"/>
      <c r="GG127" s="34"/>
      <c r="GH127" s="34"/>
      <c r="GI127" s="34"/>
      <c r="GJ127" s="34"/>
      <c r="GK127" s="34"/>
      <c r="GL127" s="34"/>
      <c r="GM127" s="34"/>
      <c r="GN127" s="34"/>
      <c r="GO127" s="34"/>
      <c r="GP127" s="34"/>
      <c r="GQ127" s="34"/>
      <c r="GR127" s="34"/>
      <c r="GS127" s="34"/>
      <c r="GT127" s="34"/>
      <c r="GU127" s="34"/>
      <c r="GV127" s="34"/>
      <c r="GW127" s="34"/>
      <c r="GX127" s="34"/>
      <c r="GY127" s="34"/>
      <c r="GZ127" s="34"/>
      <c r="HA127" s="34"/>
      <c r="HB127" s="34"/>
      <c r="HC127" s="34"/>
      <c r="HD127" s="34"/>
      <c r="HE127" s="34"/>
      <c r="HF127" s="34"/>
      <c r="HG127" s="34"/>
      <c r="HH127" s="34"/>
      <c r="HI127" s="34"/>
      <c r="HJ127" s="34"/>
      <c r="HK127" s="34"/>
      <c r="HL127" s="34"/>
      <c r="HM127" s="34"/>
      <c r="HN127" s="34"/>
      <c r="HO127" s="34"/>
      <c r="HP127" s="34"/>
      <c r="HQ127" s="34"/>
      <c r="HR127" s="34"/>
    </row>
    <row r="128" spans="1:226" s="88" customFormat="1" x14ac:dyDescent="0.2">
      <c r="A128" s="37" t="s">
        <v>13</v>
      </c>
      <c r="B128" s="36">
        <v>6211022844</v>
      </c>
      <c r="C128" s="36"/>
      <c r="D128" s="37" t="s">
        <v>31</v>
      </c>
      <c r="E128" s="36">
        <v>351000029827406</v>
      </c>
      <c r="F128" s="38">
        <v>45278</v>
      </c>
      <c r="G128" s="38"/>
      <c r="H128" s="37" t="s">
        <v>18</v>
      </c>
      <c r="I128" s="43">
        <v>19776.150000000001</v>
      </c>
      <c r="J128" s="37" t="s">
        <v>20</v>
      </c>
      <c r="K128" s="37">
        <v>941.72</v>
      </c>
      <c r="L128" s="37"/>
      <c r="M128" s="37" t="s">
        <v>25</v>
      </c>
      <c r="N128" s="20"/>
      <c r="O128" s="20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  <c r="FE128" s="34"/>
      <c r="FF128" s="34"/>
      <c r="FG128" s="34"/>
      <c r="FH128" s="34"/>
      <c r="FI128" s="34"/>
      <c r="FJ128" s="34"/>
      <c r="FK128" s="34"/>
      <c r="FL128" s="34"/>
      <c r="FM128" s="34"/>
      <c r="FN128" s="34"/>
      <c r="FO128" s="34"/>
      <c r="FP128" s="34"/>
      <c r="FQ128" s="34"/>
      <c r="FR128" s="34"/>
      <c r="FS128" s="34"/>
      <c r="FT128" s="34"/>
      <c r="FU128" s="34"/>
      <c r="FV128" s="34"/>
      <c r="FW128" s="34"/>
      <c r="FX128" s="34"/>
      <c r="FY128" s="34"/>
      <c r="FZ128" s="34"/>
      <c r="GA128" s="34"/>
      <c r="GB128" s="34"/>
      <c r="GC128" s="34"/>
      <c r="GD128" s="34"/>
      <c r="GE128" s="34"/>
      <c r="GF128" s="34"/>
      <c r="GG128" s="34"/>
      <c r="GH128" s="34"/>
      <c r="GI128" s="34"/>
      <c r="GJ128" s="34"/>
      <c r="GK128" s="34"/>
      <c r="GL128" s="34"/>
      <c r="GM128" s="34"/>
      <c r="GN128" s="34"/>
      <c r="GO128" s="34"/>
      <c r="GP128" s="34"/>
      <c r="GQ128" s="34"/>
      <c r="GR128" s="34"/>
      <c r="GS128" s="34"/>
      <c r="GT128" s="34"/>
      <c r="GU128" s="34"/>
      <c r="GV128" s="34"/>
      <c r="GW128" s="34"/>
      <c r="GX128" s="34"/>
      <c r="GY128" s="34"/>
      <c r="GZ128" s="34"/>
      <c r="HA128" s="34"/>
      <c r="HB128" s="34"/>
      <c r="HC128" s="34"/>
      <c r="HD128" s="34"/>
      <c r="HE128" s="34"/>
      <c r="HF128" s="34"/>
      <c r="HG128" s="34"/>
      <c r="HH128" s="34"/>
      <c r="HI128" s="34"/>
      <c r="HJ128" s="34"/>
      <c r="HK128" s="34"/>
      <c r="HL128" s="34"/>
      <c r="HM128" s="34"/>
      <c r="HN128" s="34"/>
      <c r="HO128" s="34"/>
      <c r="HP128" s="34"/>
      <c r="HQ128" s="34"/>
      <c r="HR128" s="34"/>
    </row>
    <row r="129" spans="1:226" s="34" customFormat="1" x14ac:dyDescent="0.2">
      <c r="A129" s="37" t="s">
        <v>450</v>
      </c>
      <c r="B129" s="36">
        <v>6211022844</v>
      </c>
      <c r="C129" s="36"/>
      <c r="D129" s="37" t="s">
        <v>1015</v>
      </c>
      <c r="E129" s="37">
        <v>828854853</v>
      </c>
      <c r="F129" s="38">
        <v>45765</v>
      </c>
      <c r="G129" s="38">
        <v>45995</v>
      </c>
      <c r="H129" s="55" t="s">
        <v>794</v>
      </c>
      <c r="I129" s="43">
        <v>19761.93</v>
      </c>
      <c r="J129" s="37" t="s">
        <v>20</v>
      </c>
      <c r="K129" s="37">
        <v>1505.66</v>
      </c>
      <c r="L129" s="37" t="s">
        <v>797</v>
      </c>
      <c r="M129" s="37" t="s">
        <v>752</v>
      </c>
      <c r="N129" s="20"/>
      <c r="O129" s="20"/>
    </row>
    <row r="130" spans="1:226" x14ac:dyDescent="0.2">
      <c r="A130" s="37" t="s">
        <v>450</v>
      </c>
      <c r="B130" s="36">
        <v>6211022844</v>
      </c>
      <c r="C130" s="36"/>
      <c r="D130" s="37" t="s">
        <v>1015</v>
      </c>
      <c r="E130" s="55">
        <v>828856954</v>
      </c>
      <c r="F130" s="38">
        <v>45765</v>
      </c>
      <c r="G130" s="38">
        <v>45995</v>
      </c>
      <c r="H130" s="55" t="s">
        <v>795</v>
      </c>
      <c r="I130" s="43">
        <v>19761.93</v>
      </c>
      <c r="J130" s="37" t="s">
        <v>20</v>
      </c>
      <c r="K130" s="37">
        <v>1505.66</v>
      </c>
      <c r="L130" s="37" t="s">
        <v>798</v>
      </c>
      <c r="M130" s="37" t="s">
        <v>752</v>
      </c>
    </row>
    <row r="131" spans="1:226" x14ac:dyDescent="0.2">
      <c r="A131" s="39" t="s">
        <v>13</v>
      </c>
      <c r="B131" s="40">
        <v>6211022844</v>
      </c>
      <c r="C131" s="40"/>
      <c r="D131" s="39" t="s">
        <v>42</v>
      </c>
      <c r="E131" s="40">
        <v>816871566</v>
      </c>
      <c r="F131" s="41">
        <v>45728</v>
      </c>
      <c r="G131" s="41">
        <v>45728</v>
      </c>
      <c r="H131" s="39" t="s">
        <v>604</v>
      </c>
      <c r="I131" s="42">
        <v>19591</v>
      </c>
      <c r="J131" s="39" t="s">
        <v>20</v>
      </c>
      <c r="K131" s="39"/>
      <c r="L131" s="39" t="s">
        <v>720</v>
      </c>
      <c r="M131" s="39" t="s">
        <v>875</v>
      </c>
    </row>
    <row r="132" spans="1:226" x14ac:dyDescent="0.2">
      <c r="A132" s="39" t="s">
        <v>450</v>
      </c>
      <c r="B132" s="40">
        <v>6211022844</v>
      </c>
      <c r="C132" s="40"/>
      <c r="D132" s="39" t="s">
        <v>27</v>
      </c>
      <c r="E132" s="40">
        <v>803320559</v>
      </c>
      <c r="F132" s="41">
        <v>45685</v>
      </c>
      <c r="G132" s="41">
        <v>45692</v>
      </c>
      <c r="H132" s="39" t="s">
        <v>665</v>
      </c>
      <c r="I132" s="42">
        <v>19560.990000000002</v>
      </c>
      <c r="J132" s="39" t="s">
        <v>20</v>
      </c>
      <c r="K132" s="39"/>
      <c r="L132" s="72" t="s">
        <v>658</v>
      </c>
      <c r="M132" s="39" t="s">
        <v>875</v>
      </c>
      <c r="N132" s="20" t="s">
        <v>646</v>
      </c>
    </row>
    <row r="133" spans="1:226" s="28" customFormat="1" x14ac:dyDescent="0.2">
      <c r="A133" s="37" t="s">
        <v>516</v>
      </c>
      <c r="B133" s="36">
        <v>51643635586</v>
      </c>
      <c r="C133" s="36"/>
      <c r="D133" s="37" t="s">
        <v>27</v>
      </c>
      <c r="E133" s="36">
        <v>150362358</v>
      </c>
      <c r="F133" s="38">
        <v>45995</v>
      </c>
      <c r="G133" s="38">
        <v>45995</v>
      </c>
      <c r="H133" s="37" t="s">
        <v>517</v>
      </c>
      <c r="I133" s="43">
        <v>19398.240000000002</v>
      </c>
      <c r="J133" s="37" t="s">
        <v>19</v>
      </c>
      <c r="K133" s="37">
        <v>1743.47</v>
      </c>
      <c r="L133" s="37" t="s">
        <v>518</v>
      </c>
      <c r="M133" s="37" t="s">
        <v>22</v>
      </c>
      <c r="N133" s="20" t="s">
        <v>550</v>
      </c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</row>
    <row r="134" spans="1:226" s="28" customFormat="1" x14ac:dyDescent="0.2">
      <c r="A134" s="37" t="s">
        <v>589</v>
      </c>
      <c r="B134" s="36">
        <v>40444827160</v>
      </c>
      <c r="C134" s="36"/>
      <c r="D134" s="37" t="s">
        <v>27</v>
      </c>
      <c r="E134" s="36">
        <v>100000326547050</v>
      </c>
      <c r="F134" s="38">
        <v>45651</v>
      </c>
      <c r="G134" s="38">
        <v>46016</v>
      </c>
      <c r="H134" s="37" t="s">
        <v>590</v>
      </c>
      <c r="I134" s="43">
        <v>19001.73</v>
      </c>
      <c r="J134" s="37" t="s">
        <v>19</v>
      </c>
      <c r="K134" s="37">
        <v>1749.16</v>
      </c>
      <c r="L134" s="37" t="s">
        <v>593</v>
      </c>
      <c r="M134" s="37" t="s">
        <v>186</v>
      </c>
      <c r="N134" s="20" t="s">
        <v>591</v>
      </c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</row>
    <row r="135" spans="1:226" s="28" customFormat="1" x14ac:dyDescent="0.2">
      <c r="A135" s="37" t="s">
        <v>589</v>
      </c>
      <c r="B135" s="36">
        <v>40444827160</v>
      </c>
      <c r="C135" s="36"/>
      <c r="D135" s="37" t="s">
        <v>27</v>
      </c>
      <c r="E135" s="36">
        <v>100000326547050</v>
      </c>
      <c r="F135" s="38">
        <v>45651</v>
      </c>
      <c r="G135" s="38">
        <v>46016</v>
      </c>
      <c r="H135" s="37" t="s">
        <v>590</v>
      </c>
      <c r="I135" s="43">
        <v>19001.73</v>
      </c>
      <c r="J135" s="37" t="s">
        <v>19</v>
      </c>
      <c r="K135" s="37">
        <v>1749.16</v>
      </c>
      <c r="L135" s="37" t="s">
        <v>593</v>
      </c>
      <c r="M135" s="37" t="s">
        <v>186</v>
      </c>
      <c r="N135" s="20" t="s">
        <v>591</v>
      </c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</row>
    <row r="136" spans="1:226" s="28" customFormat="1" x14ac:dyDescent="0.2">
      <c r="A136" s="39" t="s">
        <v>450</v>
      </c>
      <c r="B136" s="40"/>
      <c r="C136" s="40"/>
      <c r="D136" s="39" t="s">
        <v>31</v>
      </c>
      <c r="E136" s="40">
        <v>796801428</v>
      </c>
      <c r="F136" s="41">
        <v>45663</v>
      </c>
      <c r="G136" s="41">
        <v>45663</v>
      </c>
      <c r="H136" s="39" t="s">
        <v>614</v>
      </c>
      <c r="I136" s="42">
        <v>18934.95</v>
      </c>
      <c r="J136" s="39" t="s">
        <v>20</v>
      </c>
      <c r="K136" s="39"/>
      <c r="L136" s="39"/>
      <c r="M136" s="39" t="s">
        <v>875</v>
      </c>
      <c r="N136" s="20" t="s">
        <v>616</v>
      </c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</row>
    <row r="137" spans="1:226" s="28" customFormat="1" x14ac:dyDescent="0.2">
      <c r="A137" s="39" t="s">
        <v>450</v>
      </c>
      <c r="B137" s="40"/>
      <c r="C137" s="40"/>
      <c r="D137" s="39" t="s">
        <v>31</v>
      </c>
      <c r="E137" s="40">
        <v>796803524</v>
      </c>
      <c r="F137" s="41">
        <v>45663</v>
      </c>
      <c r="G137" s="41">
        <v>45663</v>
      </c>
      <c r="H137" s="39" t="s">
        <v>615</v>
      </c>
      <c r="I137" s="42">
        <v>18934.95</v>
      </c>
      <c r="J137" s="39" t="s">
        <v>20</v>
      </c>
      <c r="K137" s="39"/>
      <c r="L137" s="39"/>
      <c r="M137" s="39" t="s">
        <v>875</v>
      </c>
      <c r="N137" s="20" t="s">
        <v>616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</row>
    <row r="138" spans="1:226" s="28" customFormat="1" x14ac:dyDescent="0.2">
      <c r="A138" s="37" t="s">
        <v>13</v>
      </c>
      <c r="B138" s="36">
        <v>6211022844</v>
      </c>
      <c r="C138" s="36"/>
      <c r="D138" s="37" t="s">
        <v>27</v>
      </c>
      <c r="E138" s="36">
        <v>301000060804277</v>
      </c>
      <c r="F138" s="38">
        <v>45278</v>
      </c>
      <c r="G138" s="38"/>
      <c r="H138" s="37" t="s">
        <v>32</v>
      </c>
      <c r="I138" s="43">
        <v>18643.5</v>
      </c>
      <c r="J138" s="37" t="s">
        <v>20</v>
      </c>
      <c r="K138" s="37">
        <v>1664.5</v>
      </c>
      <c r="L138" s="37"/>
      <c r="M138" s="37" t="s">
        <v>25</v>
      </c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</row>
    <row r="139" spans="1:226" s="28" customFormat="1" x14ac:dyDescent="0.2">
      <c r="A139" s="39" t="s">
        <v>13</v>
      </c>
      <c r="B139" s="40">
        <v>6211022844</v>
      </c>
      <c r="C139" s="40"/>
      <c r="D139" s="39" t="s">
        <v>42</v>
      </c>
      <c r="E139" s="40">
        <v>819930704</v>
      </c>
      <c r="F139" s="41">
        <v>45737</v>
      </c>
      <c r="G139" s="41">
        <v>45737</v>
      </c>
      <c r="H139" s="39" t="s">
        <v>733</v>
      </c>
      <c r="I139" s="42">
        <v>18611</v>
      </c>
      <c r="J139" s="39" t="s">
        <v>20</v>
      </c>
      <c r="K139" s="39"/>
      <c r="L139" s="39" t="s">
        <v>734</v>
      </c>
      <c r="M139" s="39" t="s">
        <v>875</v>
      </c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</row>
    <row r="140" spans="1:226" s="28" customFormat="1" x14ac:dyDescent="0.2">
      <c r="A140" s="37" t="s">
        <v>787</v>
      </c>
      <c r="B140" s="36">
        <v>10514822654</v>
      </c>
      <c r="C140" s="36">
        <v>5397885312</v>
      </c>
      <c r="D140" s="37" t="s">
        <v>27</v>
      </c>
      <c r="E140" s="36">
        <v>100000363079299</v>
      </c>
      <c r="F140" s="38">
        <v>45764</v>
      </c>
      <c r="G140" s="38">
        <v>45764</v>
      </c>
      <c r="H140" s="37" t="s">
        <v>203</v>
      </c>
      <c r="I140" s="43">
        <v>18343.849999999999</v>
      </c>
      <c r="J140" s="36" t="s">
        <v>19</v>
      </c>
      <c r="K140" s="37">
        <v>1672.05</v>
      </c>
      <c r="L140" s="37" t="s">
        <v>796</v>
      </c>
      <c r="M140" s="37" t="s">
        <v>186</v>
      </c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</row>
    <row r="141" spans="1:226" s="28" customFormat="1" x14ac:dyDescent="0.2">
      <c r="A141" s="89" t="s">
        <v>759</v>
      </c>
      <c r="B141" s="23">
        <v>29857545588</v>
      </c>
      <c r="C141" s="23"/>
      <c r="D141" s="22" t="s">
        <v>27</v>
      </c>
      <c r="E141" s="23">
        <v>299891019168</v>
      </c>
      <c r="F141" s="24">
        <v>45750</v>
      </c>
      <c r="G141" s="24">
        <v>45798</v>
      </c>
      <c r="H141" s="24" t="s">
        <v>858</v>
      </c>
      <c r="I141" s="52">
        <v>18255.61</v>
      </c>
      <c r="J141" s="22" t="s">
        <v>44</v>
      </c>
      <c r="K141" s="66"/>
      <c r="L141" s="22" t="s">
        <v>815</v>
      </c>
      <c r="M141" s="22" t="s">
        <v>185</v>
      </c>
      <c r="N141" s="81">
        <v>29989</v>
      </c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</row>
    <row r="142" spans="1:226" s="28" customFormat="1" x14ac:dyDescent="0.2">
      <c r="A142" s="39" t="s">
        <v>67</v>
      </c>
      <c r="B142" s="39">
        <v>5480440710</v>
      </c>
      <c r="C142" s="40"/>
      <c r="D142" s="39" t="s">
        <v>27</v>
      </c>
      <c r="E142" s="40">
        <v>801247075</v>
      </c>
      <c r="F142" s="41">
        <v>45677</v>
      </c>
      <c r="G142" s="41">
        <v>45676</v>
      </c>
      <c r="H142" s="39" t="s">
        <v>61</v>
      </c>
      <c r="I142" s="42">
        <v>18211</v>
      </c>
      <c r="J142" s="39" t="s">
        <v>20</v>
      </c>
      <c r="K142" s="39"/>
      <c r="L142" s="39" t="s">
        <v>633</v>
      </c>
      <c r="M142" s="39" t="s">
        <v>875</v>
      </c>
      <c r="N142" s="20" t="s">
        <v>646</v>
      </c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</row>
    <row r="143" spans="1:226" x14ac:dyDescent="0.2">
      <c r="A143" s="39" t="s">
        <v>67</v>
      </c>
      <c r="B143" s="39">
        <v>5480440710</v>
      </c>
      <c r="C143" s="40"/>
      <c r="D143" s="39" t="s">
        <v>27</v>
      </c>
      <c r="E143" s="40">
        <v>801252408</v>
      </c>
      <c r="F143" s="41">
        <v>45677</v>
      </c>
      <c r="G143" s="41">
        <v>45680</v>
      </c>
      <c r="H143" s="39" t="s">
        <v>63</v>
      </c>
      <c r="I143" s="42">
        <v>18211</v>
      </c>
      <c r="J143" s="39" t="s">
        <v>20</v>
      </c>
      <c r="K143" s="39"/>
      <c r="L143" s="39" t="s">
        <v>635</v>
      </c>
      <c r="M143" s="39" t="s">
        <v>875</v>
      </c>
      <c r="N143" s="20" t="s">
        <v>646</v>
      </c>
    </row>
    <row r="144" spans="1:226" x14ac:dyDescent="0.2">
      <c r="A144" s="39" t="s">
        <v>67</v>
      </c>
      <c r="B144" s="39">
        <v>5480440710</v>
      </c>
      <c r="C144" s="40"/>
      <c r="D144" s="39" t="s">
        <v>27</v>
      </c>
      <c r="E144" s="40">
        <v>801254539</v>
      </c>
      <c r="F144" s="41">
        <v>45677</v>
      </c>
      <c r="G144" s="41">
        <v>45680</v>
      </c>
      <c r="H144" s="39" t="s">
        <v>64</v>
      </c>
      <c r="I144" s="42">
        <v>18211</v>
      </c>
      <c r="J144" s="39" t="s">
        <v>20</v>
      </c>
      <c r="K144" s="39"/>
      <c r="L144" s="39" t="s">
        <v>636</v>
      </c>
      <c r="M144" s="39" t="s">
        <v>875</v>
      </c>
      <c r="N144" s="20" t="s">
        <v>646</v>
      </c>
    </row>
    <row r="145" spans="1:57" x14ac:dyDescent="0.2">
      <c r="A145" s="39" t="s">
        <v>67</v>
      </c>
      <c r="B145" s="39">
        <v>5480440710</v>
      </c>
      <c r="C145" s="40"/>
      <c r="D145" s="39" t="s">
        <v>27</v>
      </c>
      <c r="E145" s="40">
        <v>801256202</v>
      </c>
      <c r="F145" s="41">
        <v>45677</v>
      </c>
      <c r="G145" s="41">
        <v>45680</v>
      </c>
      <c r="H145" s="39" t="s">
        <v>65</v>
      </c>
      <c r="I145" s="42">
        <v>18211</v>
      </c>
      <c r="J145" s="39" t="s">
        <v>20</v>
      </c>
      <c r="K145" s="39"/>
      <c r="L145" s="39" t="s">
        <v>637</v>
      </c>
      <c r="M145" s="39" t="s">
        <v>875</v>
      </c>
      <c r="N145" s="20" t="s">
        <v>646</v>
      </c>
    </row>
    <row r="146" spans="1:57" s="28" customFormat="1" x14ac:dyDescent="0.2">
      <c r="A146" s="39" t="s">
        <v>450</v>
      </c>
      <c r="B146" s="40">
        <v>6211022844</v>
      </c>
      <c r="C146" s="40"/>
      <c r="D146" s="39" t="s">
        <v>27</v>
      </c>
      <c r="E146" s="40">
        <v>801272195</v>
      </c>
      <c r="F146" s="41">
        <v>45679</v>
      </c>
      <c r="G146" s="41">
        <v>45681</v>
      </c>
      <c r="H146" s="39" t="s">
        <v>84</v>
      </c>
      <c r="I146" s="42">
        <v>18211</v>
      </c>
      <c r="J146" s="39" t="s">
        <v>20</v>
      </c>
      <c r="K146" s="39"/>
      <c r="L146" s="39" t="s">
        <v>641</v>
      </c>
      <c r="M146" s="39" t="s">
        <v>875</v>
      </c>
      <c r="N146" s="20" t="s">
        <v>646</v>
      </c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</row>
    <row r="147" spans="1:57" s="28" customFormat="1" x14ac:dyDescent="0.2">
      <c r="A147" s="37" t="s">
        <v>14</v>
      </c>
      <c r="B147" s="36">
        <v>4540083266</v>
      </c>
      <c r="C147" s="36"/>
      <c r="D147" s="37" t="s">
        <v>27</v>
      </c>
      <c r="E147" s="36">
        <v>95090341</v>
      </c>
      <c r="F147" s="38">
        <v>45324</v>
      </c>
      <c r="G147" s="38"/>
      <c r="H147" s="36" t="s">
        <v>112</v>
      </c>
      <c r="I147" s="43">
        <v>17944.05</v>
      </c>
      <c r="J147" s="37" t="s">
        <v>20</v>
      </c>
      <c r="K147" s="37">
        <v>1611.3</v>
      </c>
      <c r="L147" s="37" t="s">
        <v>656</v>
      </c>
      <c r="M147" s="37" t="s">
        <v>22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</row>
    <row r="148" spans="1:57" x14ac:dyDescent="0.2">
      <c r="A148" s="37" t="s">
        <v>450</v>
      </c>
      <c r="B148" s="36">
        <v>6211022844</v>
      </c>
      <c r="C148" s="36"/>
      <c r="D148" s="37" t="s">
        <v>27</v>
      </c>
      <c r="E148" s="36">
        <v>891888074</v>
      </c>
      <c r="F148" s="38">
        <v>45964</v>
      </c>
      <c r="G148" s="38">
        <v>45975</v>
      </c>
      <c r="H148" s="37" t="s">
        <v>811</v>
      </c>
      <c r="I148" s="43">
        <v>17870.98</v>
      </c>
      <c r="J148" s="37" t="s">
        <v>20</v>
      </c>
      <c r="K148" s="63">
        <v>1595.46</v>
      </c>
      <c r="L148" s="65" t="s">
        <v>523</v>
      </c>
      <c r="M148" s="37"/>
      <c r="N148" s="28"/>
      <c r="O148" s="28"/>
    </row>
    <row r="149" spans="1:57" x14ac:dyDescent="0.2">
      <c r="A149" s="37" t="s">
        <v>483</v>
      </c>
      <c r="B149" s="36">
        <v>21527606278</v>
      </c>
      <c r="C149" s="36">
        <v>5326032962</v>
      </c>
      <c r="D149" s="37" t="s">
        <v>97</v>
      </c>
      <c r="E149" s="36">
        <v>602000006625134</v>
      </c>
      <c r="F149" s="38">
        <v>45938</v>
      </c>
      <c r="G149" s="38">
        <v>45939</v>
      </c>
      <c r="H149" s="37"/>
      <c r="I149" s="43">
        <v>17807.009999999998</v>
      </c>
      <c r="J149" s="37" t="s">
        <v>19</v>
      </c>
      <c r="K149" s="37">
        <v>3561.4</v>
      </c>
      <c r="L149" s="37"/>
      <c r="M149" s="37" t="s">
        <v>25</v>
      </c>
      <c r="N149" s="28" t="s">
        <v>967</v>
      </c>
      <c r="O149" s="28"/>
    </row>
    <row r="150" spans="1:57" s="28" customFormat="1" x14ac:dyDescent="0.2">
      <c r="A150" s="89" t="s">
        <v>755</v>
      </c>
      <c r="B150" s="23">
        <v>40756138688</v>
      </c>
      <c r="C150" s="23"/>
      <c r="D150" s="22" t="s">
        <v>31</v>
      </c>
      <c r="E150" s="23">
        <v>560856732</v>
      </c>
      <c r="F150" s="24">
        <v>45749</v>
      </c>
      <c r="G150" s="24">
        <v>45749</v>
      </c>
      <c r="H150" s="80" t="s">
        <v>792</v>
      </c>
      <c r="I150" s="52">
        <v>17802.439999999999</v>
      </c>
      <c r="J150" s="22" t="s">
        <v>19</v>
      </c>
      <c r="K150" s="66">
        <f>2543.22*0.6</f>
        <v>1525.9319999999998</v>
      </c>
      <c r="L150" s="22" t="s">
        <v>793</v>
      </c>
      <c r="M150" s="22" t="s">
        <v>90</v>
      </c>
      <c r="N150" s="21" t="s">
        <v>756</v>
      </c>
      <c r="O150" s="21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</row>
    <row r="151" spans="1:57" s="21" customFormat="1" x14ac:dyDescent="0.2">
      <c r="A151" s="37" t="s">
        <v>13</v>
      </c>
      <c r="B151" s="36">
        <v>6211022844</v>
      </c>
      <c r="C151" s="36"/>
      <c r="D151" s="37" t="s">
        <v>27</v>
      </c>
      <c r="E151" s="36">
        <v>122381245</v>
      </c>
      <c r="F151" s="38">
        <v>45588</v>
      </c>
      <c r="G151" s="38">
        <v>45960</v>
      </c>
      <c r="H151" s="37" t="s">
        <v>499</v>
      </c>
      <c r="I151" s="43">
        <v>17304.990000000002</v>
      </c>
      <c r="J151" s="37" t="s">
        <v>20</v>
      </c>
      <c r="K151" s="37">
        <v>1544.94</v>
      </c>
      <c r="L151" s="37" t="s">
        <v>977</v>
      </c>
      <c r="M151" s="37" t="s">
        <v>751</v>
      </c>
      <c r="N151" s="28"/>
      <c r="O151" s="28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</row>
    <row r="152" spans="1:57" s="21" customFormat="1" x14ac:dyDescent="0.2">
      <c r="A152" s="46" t="s">
        <v>14</v>
      </c>
      <c r="B152" s="47">
        <v>4540083266</v>
      </c>
      <c r="C152" s="47"/>
      <c r="D152" s="46" t="s">
        <v>27</v>
      </c>
      <c r="E152" s="47">
        <v>301000150583349</v>
      </c>
      <c r="F152" s="48">
        <v>45650</v>
      </c>
      <c r="G152" s="48">
        <v>46018</v>
      </c>
      <c r="H152" s="46" t="s">
        <v>581</v>
      </c>
      <c r="I152" s="49">
        <v>16904.14</v>
      </c>
      <c r="J152" s="46" t="s">
        <v>20</v>
      </c>
      <c r="K152" s="46">
        <v>1528.4</v>
      </c>
      <c r="L152" s="46" t="s">
        <v>560</v>
      </c>
      <c r="M152" s="46" t="s">
        <v>25</v>
      </c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</row>
    <row r="153" spans="1:57" x14ac:dyDescent="0.2">
      <c r="A153" s="46" t="s">
        <v>14</v>
      </c>
      <c r="B153" s="47">
        <v>4540083266</v>
      </c>
      <c r="C153" s="47"/>
      <c r="D153" s="46" t="s">
        <v>27</v>
      </c>
      <c r="E153" s="47">
        <v>301000150583349</v>
      </c>
      <c r="F153" s="48">
        <v>45650</v>
      </c>
      <c r="G153" s="48">
        <v>46018</v>
      </c>
      <c r="H153" s="46" t="s">
        <v>581</v>
      </c>
      <c r="I153" s="49">
        <v>16904.14</v>
      </c>
      <c r="J153" s="46" t="s">
        <v>20</v>
      </c>
      <c r="K153" s="46">
        <v>1528.4</v>
      </c>
      <c r="L153" s="46" t="s">
        <v>560</v>
      </c>
      <c r="M153" s="46" t="s">
        <v>25</v>
      </c>
    </row>
    <row r="154" spans="1:57" s="21" customFormat="1" x14ac:dyDescent="0.2">
      <c r="A154" s="37" t="s">
        <v>263</v>
      </c>
      <c r="B154" s="36">
        <v>24413357100</v>
      </c>
      <c r="C154" s="36"/>
      <c r="D154" s="37" t="s">
        <v>27</v>
      </c>
      <c r="E154" s="36">
        <v>100000336685577</v>
      </c>
      <c r="F154" s="38">
        <v>45685</v>
      </c>
      <c r="G154" s="38">
        <v>45685</v>
      </c>
      <c r="H154" s="37" t="s">
        <v>264</v>
      </c>
      <c r="I154" s="43">
        <v>16874.939999999999</v>
      </c>
      <c r="J154" s="37" t="s">
        <v>44</v>
      </c>
      <c r="K154" s="37">
        <v>1543.1</v>
      </c>
      <c r="L154" s="37" t="s">
        <v>672</v>
      </c>
      <c r="M154" s="37" t="s">
        <v>186</v>
      </c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</row>
    <row r="155" spans="1:57" s="28" customFormat="1" x14ac:dyDescent="0.2">
      <c r="A155" s="37" t="s">
        <v>156</v>
      </c>
      <c r="B155" s="36">
        <v>26605894448</v>
      </c>
      <c r="C155" s="36"/>
      <c r="D155" s="37" t="s">
        <v>31</v>
      </c>
      <c r="E155" s="36">
        <v>307000196307672</v>
      </c>
      <c r="F155" s="38">
        <v>45972</v>
      </c>
      <c r="G155" s="38">
        <v>45972</v>
      </c>
      <c r="H155" s="37" t="s">
        <v>990</v>
      </c>
      <c r="I155" s="43">
        <v>16795.18</v>
      </c>
      <c r="J155" s="37" t="s">
        <v>19</v>
      </c>
      <c r="K155" s="37"/>
      <c r="L155" s="37" t="s">
        <v>991</v>
      </c>
      <c r="M155" s="37" t="s">
        <v>251</v>
      </c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</row>
    <row r="156" spans="1:57" s="21" customFormat="1" x14ac:dyDescent="0.2">
      <c r="A156" s="37" t="s">
        <v>167</v>
      </c>
      <c r="B156" s="36">
        <v>62353221228</v>
      </c>
      <c r="C156" s="36"/>
      <c r="D156" s="37" t="s">
        <v>31</v>
      </c>
      <c r="E156" s="36">
        <v>351000084161001</v>
      </c>
      <c r="F156" s="17">
        <v>45827</v>
      </c>
      <c r="G156" s="38">
        <v>45829</v>
      </c>
      <c r="H156" s="37" t="s">
        <v>300</v>
      </c>
      <c r="I156" s="43">
        <v>16693.93</v>
      </c>
      <c r="J156" s="37" t="s">
        <v>44</v>
      </c>
      <c r="K156" s="37">
        <v>2384.85</v>
      </c>
      <c r="L156" s="37" t="s">
        <v>307</v>
      </c>
      <c r="M156" s="37" t="s">
        <v>25</v>
      </c>
      <c r="N156" s="27" t="s">
        <v>309</v>
      </c>
      <c r="O156" s="28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</row>
    <row r="157" spans="1:57" x14ac:dyDescent="0.2">
      <c r="A157" s="37" t="s">
        <v>953</v>
      </c>
      <c r="B157" s="36">
        <v>45448140550</v>
      </c>
      <c r="C157" s="36">
        <v>5551095269</v>
      </c>
      <c r="D157" s="36" t="s">
        <v>31</v>
      </c>
      <c r="E157" s="36">
        <v>876403368</v>
      </c>
      <c r="F157" s="38">
        <v>45918</v>
      </c>
      <c r="G157" s="38">
        <v>45918</v>
      </c>
      <c r="H157" s="37" t="s">
        <v>954</v>
      </c>
      <c r="I157" s="43">
        <v>16457.66</v>
      </c>
      <c r="J157" s="37" t="s">
        <v>44</v>
      </c>
      <c r="K157" s="37">
        <v>2346</v>
      </c>
      <c r="L157" s="37" t="s">
        <v>44</v>
      </c>
      <c r="M157" s="37" t="s">
        <v>752</v>
      </c>
      <c r="N157" s="28" t="s">
        <v>955</v>
      </c>
      <c r="O157" s="28"/>
    </row>
    <row r="158" spans="1:57" x14ac:dyDescent="0.2">
      <c r="A158" s="22" t="s">
        <v>909</v>
      </c>
      <c r="B158" s="23">
        <v>52213041974</v>
      </c>
      <c r="C158" s="23" t="s">
        <v>910</v>
      </c>
      <c r="D158" s="22" t="s">
        <v>27</v>
      </c>
      <c r="E158" s="22">
        <v>1414286415</v>
      </c>
      <c r="F158" s="24">
        <v>45882</v>
      </c>
      <c r="G158" s="24">
        <v>45882</v>
      </c>
      <c r="H158" s="22" t="s">
        <v>911</v>
      </c>
      <c r="I158" s="52">
        <v>16425.650000000001</v>
      </c>
      <c r="J158" s="22" t="s">
        <v>19</v>
      </c>
      <c r="K158" s="80"/>
      <c r="L158" s="22" t="s">
        <v>912</v>
      </c>
      <c r="M158" s="22" t="s">
        <v>179</v>
      </c>
      <c r="N158" s="81" t="s">
        <v>914</v>
      </c>
      <c r="O158" s="21"/>
    </row>
    <row r="159" spans="1:57" s="28" customFormat="1" x14ac:dyDescent="0.2">
      <c r="A159" s="37" t="s">
        <v>745</v>
      </c>
      <c r="B159" s="36">
        <v>45853254668</v>
      </c>
      <c r="C159" s="36">
        <v>5365859325</v>
      </c>
      <c r="D159" s="37" t="s">
        <v>27</v>
      </c>
      <c r="E159" s="36">
        <v>100000355635402</v>
      </c>
      <c r="F159" s="38">
        <v>45742</v>
      </c>
      <c r="G159" s="38">
        <v>45742</v>
      </c>
      <c r="H159" s="37" t="s">
        <v>746</v>
      </c>
      <c r="I159" s="43">
        <v>16161.5</v>
      </c>
      <c r="J159" s="37" t="s">
        <v>19</v>
      </c>
      <c r="K159" s="37">
        <v>1468.58</v>
      </c>
      <c r="L159" s="37" t="s">
        <v>747</v>
      </c>
      <c r="M159" s="37" t="s">
        <v>186</v>
      </c>
      <c r="N159" s="28" t="s">
        <v>764</v>
      </c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</row>
    <row r="160" spans="1:57" s="28" customFormat="1" x14ac:dyDescent="0.2">
      <c r="A160" s="22" t="s">
        <v>417</v>
      </c>
      <c r="B160" s="23">
        <v>19703341952</v>
      </c>
      <c r="C160" s="23"/>
      <c r="D160" s="22" t="s">
        <v>97</v>
      </c>
      <c r="E160" s="23">
        <v>1271319925</v>
      </c>
      <c r="F160" s="24">
        <v>45826</v>
      </c>
      <c r="G160" s="24">
        <v>45826</v>
      </c>
      <c r="H160" s="22"/>
      <c r="I160" s="52">
        <v>16050</v>
      </c>
      <c r="J160" s="22" t="s">
        <v>44</v>
      </c>
      <c r="K160" s="80">
        <v>1929.85</v>
      </c>
      <c r="L160" s="22"/>
      <c r="M160" s="22" t="s">
        <v>140</v>
      </c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</row>
    <row r="161" spans="1:57" s="28" customFormat="1" x14ac:dyDescent="0.2">
      <c r="A161" s="39" t="s">
        <v>450</v>
      </c>
      <c r="B161" s="40">
        <v>6211022844</v>
      </c>
      <c r="C161" s="40"/>
      <c r="D161" s="39" t="s">
        <v>27</v>
      </c>
      <c r="E161" s="40">
        <v>801282880</v>
      </c>
      <c r="F161" s="41">
        <v>45683</v>
      </c>
      <c r="G161" s="41">
        <v>45681</v>
      </c>
      <c r="H161" s="39" t="s">
        <v>113</v>
      </c>
      <c r="I161" s="42">
        <v>16032.99</v>
      </c>
      <c r="J161" s="39" t="s">
        <v>20</v>
      </c>
      <c r="K161" s="39"/>
      <c r="L161" s="72" t="s">
        <v>645</v>
      </c>
      <c r="M161" s="39" t="s">
        <v>875</v>
      </c>
      <c r="N161" s="20" t="s">
        <v>646</v>
      </c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</row>
    <row r="162" spans="1:57" s="28" customFormat="1" x14ac:dyDescent="0.2">
      <c r="A162" s="37" t="s">
        <v>570</v>
      </c>
      <c r="B162" s="36">
        <v>40609821774</v>
      </c>
      <c r="C162" s="36"/>
      <c r="D162" s="37" t="s">
        <v>27</v>
      </c>
      <c r="E162" s="36">
        <v>100000323262654</v>
      </c>
      <c r="F162" s="38">
        <v>45643</v>
      </c>
      <c r="G162" s="38">
        <v>46008</v>
      </c>
      <c r="H162" s="37" t="s">
        <v>572</v>
      </c>
      <c r="I162" s="43">
        <v>15951.03</v>
      </c>
      <c r="J162" s="37" t="s">
        <v>19</v>
      </c>
      <c r="K162" s="37">
        <v>1458.62</v>
      </c>
      <c r="L162" s="37" t="s">
        <v>573</v>
      </c>
      <c r="M162" s="37" t="s">
        <v>186</v>
      </c>
      <c r="N162" s="20" t="s">
        <v>571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</row>
    <row r="163" spans="1:57" x14ac:dyDescent="0.2">
      <c r="A163" s="37" t="s">
        <v>570</v>
      </c>
      <c r="B163" s="36">
        <v>40609821774</v>
      </c>
      <c r="C163" s="36"/>
      <c r="D163" s="37" t="s">
        <v>27</v>
      </c>
      <c r="E163" s="36">
        <v>100000323262654</v>
      </c>
      <c r="F163" s="38">
        <v>45643</v>
      </c>
      <c r="G163" s="38">
        <v>46008</v>
      </c>
      <c r="H163" s="37" t="s">
        <v>572</v>
      </c>
      <c r="I163" s="43">
        <v>15951.03</v>
      </c>
      <c r="J163" s="37" t="s">
        <v>19</v>
      </c>
      <c r="K163" s="37">
        <v>1458.62</v>
      </c>
      <c r="L163" s="37" t="s">
        <v>573</v>
      </c>
      <c r="M163" s="37" t="s">
        <v>186</v>
      </c>
      <c r="N163" s="20" t="s">
        <v>571</v>
      </c>
    </row>
    <row r="164" spans="1:57" s="28" customFormat="1" x14ac:dyDescent="0.2">
      <c r="A164" s="22" t="s">
        <v>552</v>
      </c>
      <c r="B164" s="23">
        <v>36142578466</v>
      </c>
      <c r="C164" s="23"/>
      <c r="D164" s="22" t="s">
        <v>27</v>
      </c>
      <c r="E164" s="23">
        <v>555810038</v>
      </c>
      <c r="F164" s="24">
        <v>45729</v>
      </c>
      <c r="G164" s="24">
        <v>45729</v>
      </c>
      <c r="H164" s="22" t="s">
        <v>729</v>
      </c>
      <c r="I164" s="52">
        <v>15877.56</v>
      </c>
      <c r="J164" s="22" t="s">
        <v>44</v>
      </c>
      <c r="K164" s="80">
        <f>1436.55*0.6</f>
        <v>861.93</v>
      </c>
      <c r="L164" s="22" t="s">
        <v>730</v>
      </c>
      <c r="M164" s="22" t="s">
        <v>90</v>
      </c>
      <c r="N164" s="20" t="s">
        <v>758</v>
      </c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</row>
    <row r="165" spans="1:57" s="21" customFormat="1" x14ac:dyDescent="0.2">
      <c r="A165" s="37" t="s">
        <v>450</v>
      </c>
      <c r="B165" s="36">
        <v>6211022844</v>
      </c>
      <c r="C165" s="36"/>
      <c r="D165" s="37" t="s">
        <v>27</v>
      </c>
      <c r="E165" s="36">
        <v>122387463</v>
      </c>
      <c r="F165" s="38">
        <v>45588</v>
      </c>
      <c r="G165" s="38">
        <v>45953</v>
      </c>
      <c r="H165" s="37" t="s">
        <v>504</v>
      </c>
      <c r="I165" s="43">
        <v>15719</v>
      </c>
      <c r="J165" s="37" t="s">
        <v>20</v>
      </c>
      <c r="K165" s="37">
        <v>1403.34</v>
      </c>
      <c r="L165" s="37" t="s">
        <v>505</v>
      </c>
      <c r="M165" s="37" t="s">
        <v>751</v>
      </c>
      <c r="N165" s="28"/>
      <c r="O165" s="28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</row>
    <row r="166" spans="1:57" s="64" customFormat="1" x14ac:dyDescent="0.2">
      <c r="A166" s="37" t="s">
        <v>731</v>
      </c>
      <c r="B166" s="36">
        <v>62209226032</v>
      </c>
      <c r="C166" s="36"/>
      <c r="D166" s="37" t="s">
        <v>97</v>
      </c>
      <c r="E166" s="36">
        <v>2898282</v>
      </c>
      <c r="F166" s="38">
        <v>45736</v>
      </c>
      <c r="G166" s="38">
        <v>45736</v>
      </c>
      <c r="H166" s="37"/>
      <c r="I166" s="43">
        <v>15571.3</v>
      </c>
      <c r="J166" s="37" t="s">
        <v>44</v>
      </c>
      <c r="K166" s="37">
        <f>389.2*8</f>
        <v>3113.6</v>
      </c>
      <c r="L166" s="37"/>
      <c r="M166" s="37" t="s">
        <v>732</v>
      </c>
      <c r="N166" s="28"/>
      <c r="O166" s="28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</row>
    <row r="167" spans="1:57" s="28" customFormat="1" x14ac:dyDescent="0.2">
      <c r="A167" s="37" t="s">
        <v>409</v>
      </c>
      <c r="B167" s="36">
        <v>43807715050</v>
      </c>
      <c r="C167" s="36"/>
      <c r="D167" s="37" t="s">
        <v>27</v>
      </c>
      <c r="E167" s="36">
        <v>100000405173977</v>
      </c>
      <c r="F167" s="38">
        <v>45870</v>
      </c>
      <c r="G167" s="38">
        <v>45872</v>
      </c>
      <c r="H167" s="37" t="s">
        <v>410</v>
      </c>
      <c r="I167" s="43">
        <v>15507</v>
      </c>
      <c r="J167" s="37" t="s">
        <v>19</v>
      </c>
      <c r="K167" s="37">
        <v>1412.68</v>
      </c>
      <c r="L167" s="37" t="s">
        <v>411</v>
      </c>
      <c r="M167" s="37" t="s">
        <v>186</v>
      </c>
      <c r="N167" s="27" t="s">
        <v>416</v>
      </c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</row>
    <row r="168" spans="1:57" s="28" customFormat="1" x14ac:dyDescent="0.2">
      <c r="A168" s="65" t="s">
        <v>478</v>
      </c>
      <c r="B168" s="65">
        <v>69805191504</v>
      </c>
      <c r="C168" s="67"/>
      <c r="D168" s="65" t="s">
        <v>31</v>
      </c>
      <c r="E168" s="67">
        <v>307000157803931</v>
      </c>
      <c r="F168" s="68">
        <v>45672</v>
      </c>
      <c r="G168" s="68">
        <v>46037</v>
      </c>
      <c r="H168" s="65" t="s">
        <v>497</v>
      </c>
      <c r="I168" s="43">
        <v>15462.35</v>
      </c>
      <c r="J168" s="65" t="s">
        <v>44</v>
      </c>
      <c r="K168" s="65">
        <v>2127.59</v>
      </c>
      <c r="L168" s="68" t="s">
        <v>630</v>
      </c>
      <c r="M168" s="65" t="s">
        <v>251</v>
      </c>
      <c r="N168" s="44"/>
      <c r="O168" s="44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</row>
    <row r="169" spans="1:57" x14ac:dyDescent="0.2">
      <c r="A169" s="37" t="s">
        <v>1004</v>
      </c>
      <c r="B169" s="36">
        <v>19319138038</v>
      </c>
      <c r="C169" s="36"/>
      <c r="D169" s="37" t="s">
        <v>27</v>
      </c>
      <c r="E169" s="36">
        <v>100000472390579</v>
      </c>
      <c r="F169" s="38">
        <v>45987</v>
      </c>
      <c r="G169" s="38"/>
      <c r="H169" s="37" t="s">
        <v>1005</v>
      </c>
      <c r="I169" s="90">
        <v>15446.98</v>
      </c>
      <c r="J169" s="37" t="s">
        <v>20</v>
      </c>
      <c r="K169" s="37">
        <v>1388.25</v>
      </c>
      <c r="L169" s="37" t="s">
        <v>1007</v>
      </c>
      <c r="M169" s="37" t="s">
        <v>186</v>
      </c>
      <c r="N169" s="50"/>
      <c r="O169" s="28"/>
    </row>
    <row r="170" spans="1:57" s="28" customFormat="1" x14ac:dyDescent="0.2">
      <c r="A170" s="37" t="s">
        <v>26</v>
      </c>
      <c r="B170" s="36">
        <v>4811196831</v>
      </c>
      <c r="C170" s="36"/>
      <c r="D170" s="37" t="s">
        <v>42</v>
      </c>
      <c r="E170" s="36">
        <v>834419311</v>
      </c>
      <c r="F170" s="38">
        <v>45783</v>
      </c>
      <c r="G170" s="38">
        <v>45785</v>
      </c>
      <c r="H170" s="37" t="s">
        <v>238</v>
      </c>
      <c r="I170" s="43">
        <v>15436.99</v>
      </c>
      <c r="J170" s="37" t="s">
        <v>237</v>
      </c>
      <c r="K170" s="37">
        <v>1378.16</v>
      </c>
      <c r="L170" s="37" t="s">
        <v>239</v>
      </c>
      <c r="M170" s="37" t="s">
        <v>752</v>
      </c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</row>
    <row r="171" spans="1:57" x14ac:dyDescent="0.2">
      <c r="A171" s="22" t="s">
        <v>317</v>
      </c>
      <c r="B171" s="23">
        <v>29854545642</v>
      </c>
      <c r="C171" s="23"/>
      <c r="D171" s="23" t="s">
        <v>42</v>
      </c>
      <c r="E171" s="23">
        <v>299891019374</v>
      </c>
      <c r="F171" s="24">
        <v>45823</v>
      </c>
      <c r="G171" s="24">
        <v>45823</v>
      </c>
      <c r="H171" s="22" t="s">
        <v>318</v>
      </c>
      <c r="I171" s="52">
        <v>15342.85</v>
      </c>
      <c r="J171" s="22" t="s">
        <v>19</v>
      </c>
      <c r="K171" s="22">
        <v>836.89</v>
      </c>
      <c r="L171" s="22" t="s">
        <v>319</v>
      </c>
      <c r="M171" s="22" t="s">
        <v>185</v>
      </c>
      <c r="N171" s="21" t="s">
        <v>854</v>
      </c>
      <c r="O171" s="21"/>
    </row>
    <row r="172" spans="1:57" s="28" customFormat="1" x14ac:dyDescent="0.2">
      <c r="A172" s="65" t="s">
        <v>275</v>
      </c>
      <c r="B172" s="36">
        <v>21040245558</v>
      </c>
      <c r="C172" s="36"/>
      <c r="D172" s="63" t="s">
        <v>27</v>
      </c>
      <c r="E172" s="36">
        <v>100000369792444</v>
      </c>
      <c r="F172" s="38">
        <v>45784</v>
      </c>
      <c r="G172" s="38">
        <v>45784</v>
      </c>
      <c r="H172" s="37" t="s">
        <v>809</v>
      </c>
      <c r="I172" s="43">
        <v>15325.44</v>
      </c>
      <c r="J172" s="37" t="s">
        <v>19</v>
      </c>
      <c r="K172" s="37">
        <v>2189.35</v>
      </c>
      <c r="L172" s="37" t="s">
        <v>810</v>
      </c>
      <c r="M172" s="37" t="s">
        <v>186</v>
      </c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</row>
    <row r="173" spans="1:57" x14ac:dyDescent="0.2">
      <c r="A173" s="37" t="s">
        <v>26</v>
      </c>
      <c r="B173" s="36">
        <v>4811196831</v>
      </c>
      <c r="C173" s="36"/>
      <c r="D173" s="37" t="s">
        <v>42</v>
      </c>
      <c r="E173" s="36">
        <v>120164963</v>
      </c>
      <c r="F173" s="38">
        <v>45420</v>
      </c>
      <c r="G173" s="38">
        <v>45785</v>
      </c>
      <c r="H173" s="37" t="s">
        <v>238</v>
      </c>
      <c r="I173" s="43">
        <v>15298.47</v>
      </c>
      <c r="J173" s="37" t="s">
        <v>237</v>
      </c>
      <c r="K173" s="37">
        <v>1823.98</v>
      </c>
      <c r="L173" s="37" t="s">
        <v>239</v>
      </c>
      <c r="M173" s="37" t="s">
        <v>190</v>
      </c>
    </row>
    <row r="174" spans="1:57" s="64" customFormat="1" x14ac:dyDescent="0.2">
      <c r="A174" s="37" t="s">
        <v>255</v>
      </c>
      <c r="B174" s="37">
        <v>21043245494</v>
      </c>
      <c r="C174" s="36"/>
      <c r="D174" s="37" t="s">
        <v>27</v>
      </c>
      <c r="E174" s="36">
        <v>301000192055505</v>
      </c>
      <c r="F174" s="38">
        <v>45799</v>
      </c>
      <c r="G174" s="38">
        <v>45800</v>
      </c>
      <c r="H174" s="37" t="s">
        <v>287</v>
      </c>
      <c r="I174" s="43">
        <v>15287.58</v>
      </c>
      <c r="J174" s="37" t="s">
        <v>19</v>
      </c>
      <c r="K174" s="37">
        <v>1394.66</v>
      </c>
      <c r="L174" s="38" t="s">
        <v>602</v>
      </c>
      <c r="M174" s="37" t="s">
        <v>25</v>
      </c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</row>
    <row r="175" spans="1:57" s="64" customFormat="1" x14ac:dyDescent="0.2">
      <c r="A175" s="39" t="s">
        <v>67</v>
      </c>
      <c r="B175" s="39">
        <v>5480440710</v>
      </c>
      <c r="C175" s="40"/>
      <c r="D175" s="39" t="s">
        <v>27</v>
      </c>
      <c r="E175" s="40">
        <v>801245421</v>
      </c>
      <c r="F175" s="41">
        <v>45677</v>
      </c>
      <c r="G175" s="41">
        <v>45677</v>
      </c>
      <c r="H175" s="39" t="s">
        <v>62</v>
      </c>
      <c r="I175" s="42">
        <v>15175.99</v>
      </c>
      <c r="J175" s="39" t="s">
        <v>20</v>
      </c>
      <c r="K175" s="39"/>
      <c r="L175" s="39" t="s">
        <v>634</v>
      </c>
      <c r="M175" s="39" t="s">
        <v>875</v>
      </c>
      <c r="N175" s="20" t="s">
        <v>646</v>
      </c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</row>
    <row r="176" spans="1:57" x14ac:dyDescent="0.2">
      <c r="A176" s="39" t="s">
        <v>67</v>
      </c>
      <c r="B176" s="39">
        <v>5480440710</v>
      </c>
      <c r="C176" s="40"/>
      <c r="D176" s="39" t="s">
        <v>27</v>
      </c>
      <c r="E176" s="40">
        <v>801259069</v>
      </c>
      <c r="F176" s="41">
        <v>45677</v>
      </c>
      <c r="G176" s="41">
        <v>45680</v>
      </c>
      <c r="H176" s="39" t="s">
        <v>66</v>
      </c>
      <c r="I176" s="42">
        <v>15175.99</v>
      </c>
      <c r="J176" s="39" t="s">
        <v>20</v>
      </c>
      <c r="K176" s="39"/>
      <c r="L176" s="39" t="s">
        <v>638</v>
      </c>
      <c r="M176" s="39" t="s">
        <v>875</v>
      </c>
      <c r="N176" s="20" t="s">
        <v>646</v>
      </c>
    </row>
    <row r="177" spans="1:57" x14ac:dyDescent="0.2">
      <c r="A177" s="39" t="s">
        <v>13</v>
      </c>
      <c r="B177" s="40">
        <v>6211022844</v>
      </c>
      <c r="C177" s="40"/>
      <c r="D177" s="39" t="s">
        <v>31</v>
      </c>
      <c r="E177" s="40">
        <v>819704412</v>
      </c>
      <c r="F177" s="41">
        <v>45737</v>
      </c>
      <c r="G177" s="41">
        <v>45737</v>
      </c>
      <c r="H177" s="39" t="s">
        <v>733</v>
      </c>
      <c r="I177" s="42">
        <v>14935.23</v>
      </c>
      <c r="J177" s="39" t="s">
        <v>20</v>
      </c>
      <c r="K177" s="39"/>
      <c r="L177" s="39" t="s">
        <v>734</v>
      </c>
      <c r="M177" s="39" t="s">
        <v>875</v>
      </c>
    </row>
    <row r="178" spans="1:57" ht="13.8" customHeight="1" x14ac:dyDescent="0.2">
      <c r="A178" s="37" t="s">
        <v>13</v>
      </c>
      <c r="B178" s="36">
        <v>6211022844</v>
      </c>
      <c r="C178" s="36"/>
      <c r="D178" s="37" t="s">
        <v>27</v>
      </c>
      <c r="E178" s="36">
        <v>93330822</v>
      </c>
      <c r="F178" s="38">
        <v>45315</v>
      </c>
      <c r="G178" s="38"/>
      <c r="H178" s="37" t="s">
        <v>84</v>
      </c>
      <c r="I178" s="43">
        <v>14915.04</v>
      </c>
      <c r="J178" s="37" t="s">
        <v>20</v>
      </c>
      <c r="K178" s="37">
        <v>1331.7</v>
      </c>
      <c r="L178" s="37"/>
      <c r="M178" s="37" t="s">
        <v>22</v>
      </c>
      <c r="N178" s="20" t="s">
        <v>83</v>
      </c>
    </row>
    <row r="179" spans="1:57" s="28" customFormat="1" x14ac:dyDescent="0.2">
      <c r="A179" s="22" t="s">
        <v>424</v>
      </c>
      <c r="B179" s="23">
        <v>13664716026</v>
      </c>
      <c r="C179" s="23"/>
      <c r="D179" s="22" t="s">
        <v>31</v>
      </c>
      <c r="E179" s="23">
        <v>329631358</v>
      </c>
      <c r="F179" s="24">
        <v>45565</v>
      </c>
      <c r="G179" s="24">
        <v>45930</v>
      </c>
      <c r="H179" s="22" t="s">
        <v>459</v>
      </c>
      <c r="I179" s="52">
        <v>14886.23</v>
      </c>
      <c r="J179" s="22" t="s">
        <v>19</v>
      </c>
      <c r="K179" s="22">
        <f>2300.11*0.6</f>
        <v>1380.066</v>
      </c>
      <c r="L179" s="22" t="s">
        <v>460</v>
      </c>
      <c r="M179" s="22" t="s">
        <v>81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</row>
    <row r="180" spans="1:57" s="28" customFormat="1" x14ac:dyDescent="0.2">
      <c r="A180" s="22" t="s">
        <v>586</v>
      </c>
      <c r="B180" s="23">
        <v>38515891516</v>
      </c>
      <c r="C180" s="23">
        <v>5392178157</v>
      </c>
      <c r="D180" s="23" t="s">
        <v>31</v>
      </c>
      <c r="E180" s="23">
        <v>226761953</v>
      </c>
      <c r="F180" s="24">
        <v>45833</v>
      </c>
      <c r="G180" s="24">
        <v>45833</v>
      </c>
      <c r="H180" s="22" t="s">
        <v>860</v>
      </c>
      <c r="I180" s="52">
        <v>14819.5</v>
      </c>
      <c r="J180" s="22" t="s">
        <v>19</v>
      </c>
      <c r="K180" s="29">
        <v>1270.24</v>
      </c>
      <c r="L180" s="22" t="s">
        <v>861</v>
      </c>
      <c r="M180" s="22" t="s">
        <v>507</v>
      </c>
      <c r="N180" s="21"/>
      <c r="O180" s="21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</row>
    <row r="181" spans="1:57" s="28" customFormat="1" x14ac:dyDescent="0.2">
      <c r="A181" s="37" t="s">
        <v>261</v>
      </c>
      <c r="B181" s="36">
        <v>47209207618</v>
      </c>
      <c r="C181" s="36"/>
      <c r="D181" s="37" t="s">
        <v>31</v>
      </c>
      <c r="E181" s="36">
        <v>351000042834791</v>
      </c>
      <c r="F181" s="38">
        <v>45443</v>
      </c>
      <c r="G181" s="38">
        <v>45808</v>
      </c>
      <c r="H181" s="37" t="s">
        <v>272</v>
      </c>
      <c r="I181" s="43">
        <v>14785.51</v>
      </c>
      <c r="J181" s="37" t="s">
        <v>44</v>
      </c>
      <c r="K181" s="37">
        <v>2112.2199999999998</v>
      </c>
      <c r="L181" s="37" t="s">
        <v>262</v>
      </c>
      <c r="M181" s="37" t="s">
        <v>25</v>
      </c>
      <c r="N181" s="20" t="s">
        <v>273</v>
      </c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</row>
    <row r="182" spans="1:57" x14ac:dyDescent="0.2">
      <c r="A182" s="46" t="s">
        <v>511</v>
      </c>
      <c r="B182" s="47">
        <v>21188076632</v>
      </c>
      <c r="C182" s="47"/>
      <c r="D182" s="46" t="s">
        <v>31</v>
      </c>
      <c r="E182" s="47"/>
      <c r="F182" s="48">
        <v>45672</v>
      </c>
      <c r="G182" s="48">
        <v>46039</v>
      </c>
      <c r="H182" s="46" t="s">
        <v>628</v>
      </c>
      <c r="I182" s="49">
        <v>14774</v>
      </c>
      <c r="J182" s="46" t="s">
        <v>44</v>
      </c>
      <c r="K182" s="46"/>
      <c r="L182" s="46" t="s">
        <v>626</v>
      </c>
      <c r="M182" s="46" t="s">
        <v>251</v>
      </c>
      <c r="N182" s="20" t="s">
        <v>627</v>
      </c>
    </row>
    <row r="183" spans="1:57" s="28" customFormat="1" x14ac:dyDescent="0.2">
      <c r="A183" s="37" t="s">
        <v>450</v>
      </c>
      <c r="B183" s="36">
        <v>6211022844</v>
      </c>
      <c r="C183" s="36"/>
      <c r="D183" s="37" t="s">
        <v>27</v>
      </c>
      <c r="E183" s="36">
        <v>108240693</v>
      </c>
      <c r="F183" s="38">
        <v>45602</v>
      </c>
      <c r="G183" s="38">
        <v>45975</v>
      </c>
      <c r="H183" s="37" t="s">
        <v>811</v>
      </c>
      <c r="I183" s="43">
        <v>14665.54</v>
      </c>
      <c r="J183" s="37" t="s">
        <v>20</v>
      </c>
      <c r="K183" s="37">
        <v>1318.11</v>
      </c>
      <c r="L183" s="65" t="s">
        <v>523</v>
      </c>
      <c r="M183" s="37" t="s">
        <v>22</v>
      </c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</row>
    <row r="184" spans="1:57" s="21" customFormat="1" x14ac:dyDescent="0.2">
      <c r="A184" s="37" t="s">
        <v>361</v>
      </c>
      <c r="B184" s="36">
        <v>21320072164</v>
      </c>
      <c r="C184" s="36" t="s">
        <v>362</v>
      </c>
      <c r="D184" s="37" t="s">
        <v>27</v>
      </c>
      <c r="E184" s="36">
        <v>102643147</v>
      </c>
      <c r="F184" s="38">
        <v>45482</v>
      </c>
      <c r="G184" s="38">
        <v>45851</v>
      </c>
      <c r="H184" s="37" t="s">
        <v>365</v>
      </c>
      <c r="I184" s="43">
        <v>14655.16</v>
      </c>
      <c r="J184" s="37" t="s">
        <v>44</v>
      </c>
      <c r="K184" s="37">
        <v>1315.97</v>
      </c>
      <c r="L184" s="37" t="s">
        <v>363</v>
      </c>
      <c r="M184" s="37" t="s">
        <v>22</v>
      </c>
      <c r="N184" s="20" t="s">
        <v>364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</row>
    <row r="185" spans="1:57" x14ac:dyDescent="0.2">
      <c r="A185" s="37" t="s">
        <v>820</v>
      </c>
      <c r="B185" s="36">
        <v>32249098692</v>
      </c>
      <c r="C185" s="37"/>
      <c r="D185" s="37" t="s">
        <v>31</v>
      </c>
      <c r="E185" s="36">
        <v>351000081751370</v>
      </c>
      <c r="F185" s="38">
        <v>45803</v>
      </c>
      <c r="G185" s="38">
        <v>45803</v>
      </c>
      <c r="H185" s="37" t="s">
        <v>822</v>
      </c>
      <c r="I185" s="43">
        <v>14633.43</v>
      </c>
      <c r="J185" s="37" t="s">
        <v>44</v>
      </c>
      <c r="K185" s="37">
        <v>2090.4899999999998</v>
      </c>
      <c r="L185" s="37" t="s">
        <v>823</v>
      </c>
      <c r="M185" s="37" t="s">
        <v>25</v>
      </c>
      <c r="N185" s="50"/>
      <c r="O185" s="28"/>
    </row>
    <row r="186" spans="1:57" s="21" customFormat="1" x14ac:dyDescent="0.2">
      <c r="A186" s="37" t="s">
        <v>13</v>
      </c>
      <c r="B186" s="36">
        <v>6211022844</v>
      </c>
      <c r="C186" s="36"/>
      <c r="D186" s="37" t="s">
        <v>27</v>
      </c>
      <c r="E186" s="36">
        <v>122381245</v>
      </c>
      <c r="F186" s="38">
        <v>45588</v>
      </c>
      <c r="G186" s="38">
        <v>45960</v>
      </c>
      <c r="H186" s="37" t="s">
        <v>499</v>
      </c>
      <c r="I186" s="43">
        <v>14538.45</v>
      </c>
      <c r="J186" s="37" t="s">
        <v>20</v>
      </c>
      <c r="K186" s="37">
        <v>1298.07</v>
      </c>
      <c r="L186" s="37" t="s">
        <v>500</v>
      </c>
      <c r="M186" s="37" t="s">
        <v>190</v>
      </c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</row>
    <row r="187" spans="1:57" s="28" customFormat="1" x14ac:dyDescent="0.2">
      <c r="A187" s="37" t="s">
        <v>717</v>
      </c>
      <c r="B187" s="36">
        <v>57226674560</v>
      </c>
      <c r="C187" s="36"/>
      <c r="D187" s="37" t="s">
        <v>42</v>
      </c>
      <c r="E187" s="36">
        <v>100000349346148</v>
      </c>
      <c r="F187" s="38">
        <v>45725</v>
      </c>
      <c r="G187" s="38">
        <v>45725</v>
      </c>
      <c r="H187" s="37" t="s">
        <v>718</v>
      </c>
      <c r="I187" s="43">
        <v>14494.99</v>
      </c>
      <c r="J187" s="37" t="s">
        <v>20</v>
      </c>
      <c r="K187" s="37">
        <v>1326.76</v>
      </c>
      <c r="L187" s="37" t="s">
        <v>719</v>
      </c>
      <c r="M187" s="37" t="s">
        <v>186</v>
      </c>
      <c r="N187" s="27">
        <v>27268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</row>
    <row r="188" spans="1:57" s="28" customFormat="1" x14ac:dyDescent="0.2">
      <c r="A188" s="37" t="s">
        <v>395</v>
      </c>
      <c r="B188" s="36">
        <v>35788545948</v>
      </c>
      <c r="C188" s="36" t="s">
        <v>400</v>
      </c>
      <c r="D188" s="37" t="s">
        <v>31</v>
      </c>
      <c r="E188" s="36">
        <v>100000396937978</v>
      </c>
      <c r="F188" s="38">
        <v>45861</v>
      </c>
      <c r="G188" s="38">
        <v>45862</v>
      </c>
      <c r="H188" s="37" t="s">
        <v>396</v>
      </c>
      <c r="I188" s="43">
        <v>14478.82</v>
      </c>
      <c r="J188" s="37" t="s">
        <v>20</v>
      </c>
      <c r="K188" s="37">
        <v>2068.4</v>
      </c>
      <c r="L188" s="37" t="s">
        <v>397</v>
      </c>
      <c r="M188" s="37" t="s">
        <v>186</v>
      </c>
      <c r="N188" s="28" t="s">
        <v>889</v>
      </c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</row>
    <row r="189" spans="1:57" s="21" customFormat="1" x14ac:dyDescent="0.2">
      <c r="A189" s="37" t="s">
        <v>13</v>
      </c>
      <c r="B189" s="36">
        <v>6211022844</v>
      </c>
      <c r="C189" s="36"/>
      <c r="D189" s="37" t="s">
        <v>27</v>
      </c>
      <c r="E189" s="37">
        <v>840820021</v>
      </c>
      <c r="F189" s="38">
        <v>45804</v>
      </c>
      <c r="G189" s="38">
        <v>46173</v>
      </c>
      <c r="H189" s="37" t="s">
        <v>257</v>
      </c>
      <c r="I189" s="43">
        <v>14047.99</v>
      </c>
      <c r="J189" s="37" t="s">
        <v>237</v>
      </c>
      <c r="K189" s="37">
        <v>1254.1600000000001</v>
      </c>
      <c r="L189" s="37" t="s">
        <v>824</v>
      </c>
      <c r="M189" s="37" t="s">
        <v>751</v>
      </c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</row>
    <row r="190" spans="1:57" s="21" customFormat="1" x14ac:dyDescent="0.2">
      <c r="A190" s="37" t="s">
        <v>483</v>
      </c>
      <c r="B190" s="36">
        <v>21527606278</v>
      </c>
      <c r="C190" s="36">
        <v>5326032962</v>
      </c>
      <c r="D190" s="37" t="s">
        <v>97</v>
      </c>
      <c r="E190" s="36">
        <v>602000003310528</v>
      </c>
      <c r="F190" s="38">
        <v>45574</v>
      </c>
      <c r="G190" s="38">
        <v>45939</v>
      </c>
      <c r="H190" s="37"/>
      <c r="I190" s="43">
        <v>13966</v>
      </c>
      <c r="J190" s="37" t="s">
        <v>19</v>
      </c>
      <c r="K190" s="37">
        <v>2787.96</v>
      </c>
      <c r="L190" s="37"/>
      <c r="M190" s="37" t="s">
        <v>25</v>
      </c>
      <c r="N190" s="20" t="s">
        <v>484</v>
      </c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</row>
    <row r="191" spans="1:57" s="28" customFormat="1" x14ac:dyDescent="0.2">
      <c r="A191" s="37" t="s">
        <v>855</v>
      </c>
      <c r="B191" s="36">
        <v>51538582018</v>
      </c>
      <c r="C191" s="36">
        <v>5444534253</v>
      </c>
      <c r="D191" s="36" t="s">
        <v>27</v>
      </c>
      <c r="E191" s="36">
        <v>301000198750671</v>
      </c>
      <c r="F191" s="38">
        <v>45823</v>
      </c>
      <c r="G191" s="38">
        <v>45823</v>
      </c>
      <c r="H191" s="37" t="s">
        <v>856</v>
      </c>
      <c r="I191" s="43">
        <v>13822.97</v>
      </c>
      <c r="J191" s="37" t="s">
        <v>19</v>
      </c>
      <c r="K191" s="37">
        <v>1245.31</v>
      </c>
      <c r="L191" s="37" t="s">
        <v>857</v>
      </c>
      <c r="M191" s="37" t="s">
        <v>25</v>
      </c>
      <c r="N191" s="50">
        <v>33561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</row>
    <row r="192" spans="1:57" x14ac:dyDescent="0.2">
      <c r="A192" s="37" t="s">
        <v>37</v>
      </c>
      <c r="B192" s="36">
        <v>1010880886</v>
      </c>
      <c r="C192" s="36"/>
      <c r="D192" s="13" t="s">
        <v>31</v>
      </c>
      <c r="E192" s="36">
        <v>351000031231490</v>
      </c>
      <c r="F192" s="38">
        <v>45303</v>
      </c>
      <c r="G192" s="38"/>
      <c r="H192" s="37" t="s">
        <v>38</v>
      </c>
      <c r="I192" s="43">
        <v>13776.83</v>
      </c>
      <c r="J192" s="37" t="s">
        <v>20</v>
      </c>
      <c r="K192" s="63">
        <v>1968.12</v>
      </c>
      <c r="L192" s="37" t="s">
        <v>39</v>
      </c>
      <c r="M192" s="37" t="s">
        <v>40</v>
      </c>
      <c r="N192" s="20" t="s">
        <v>40</v>
      </c>
    </row>
    <row r="193" spans="1:57" x14ac:dyDescent="0.2">
      <c r="A193" s="46" t="s">
        <v>37</v>
      </c>
      <c r="B193" s="47">
        <v>1010880886</v>
      </c>
      <c r="C193" s="47"/>
      <c r="D193" s="91" t="s">
        <v>31</v>
      </c>
      <c r="E193" s="47">
        <v>351000031231490</v>
      </c>
      <c r="F193" s="48">
        <v>45669</v>
      </c>
      <c r="G193" s="48">
        <v>46034</v>
      </c>
      <c r="H193" s="46" t="s">
        <v>38</v>
      </c>
      <c r="I193" s="49">
        <v>13776.83</v>
      </c>
      <c r="J193" s="46" t="s">
        <v>20</v>
      </c>
      <c r="K193" s="71">
        <v>1968.12</v>
      </c>
      <c r="L193" s="46" t="s">
        <v>39</v>
      </c>
      <c r="M193" s="46"/>
    </row>
    <row r="194" spans="1:57" x14ac:dyDescent="0.2">
      <c r="A194" s="37" t="s">
        <v>407</v>
      </c>
      <c r="B194" s="36">
        <v>36470090920</v>
      </c>
      <c r="C194" s="36"/>
      <c r="D194" s="37" t="s">
        <v>27</v>
      </c>
      <c r="E194" s="36">
        <v>301000210568375</v>
      </c>
      <c r="F194" s="38">
        <v>45866</v>
      </c>
      <c r="G194" s="38">
        <v>45867</v>
      </c>
      <c r="H194" s="37" t="s">
        <v>425</v>
      </c>
      <c r="I194" s="43">
        <v>13693.14</v>
      </c>
      <c r="J194" s="37" t="s">
        <v>44</v>
      </c>
      <c r="K194" s="37">
        <v>1239.71</v>
      </c>
      <c r="L194" s="37" t="s">
        <v>891</v>
      </c>
      <c r="M194" s="37" t="s">
        <v>25</v>
      </c>
      <c r="N194" s="20" t="s">
        <v>892</v>
      </c>
    </row>
    <row r="195" spans="1:57" s="28" customFormat="1" x14ac:dyDescent="0.2">
      <c r="A195" s="37" t="s">
        <v>434</v>
      </c>
      <c r="B195" s="36">
        <v>12268663026</v>
      </c>
      <c r="C195" s="36"/>
      <c r="D195" s="36" t="s">
        <v>27</v>
      </c>
      <c r="E195" s="36">
        <v>121746713</v>
      </c>
      <c r="F195" s="38">
        <v>45541</v>
      </c>
      <c r="G195" s="38">
        <v>45906</v>
      </c>
      <c r="H195" s="37" t="s">
        <v>435</v>
      </c>
      <c r="I195" s="43">
        <v>13669.94</v>
      </c>
      <c r="J195" s="37" t="s">
        <v>19</v>
      </c>
      <c r="K195" s="37" t="s">
        <v>441</v>
      </c>
      <c r="L195" s="37" t="s">
        <v>442</v>
      </c>
      <c r="M195" s="37" t="s">
        <v>190</v>
      </c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</row>
    <row r="196" spans="1:57" s="28" customFormat="1" x14ac:dyDescent="0.2">
      <c r="A196" s="46" t="s">
        <v>434</v>
      </c>
      <c r="B196" s="47">
        <v>12268663026</v>
      </c>
      <c r="C196" s="47"/>
      <c r="D196" s="47" t="s">
        <v>27</v>
      </c>
      <c r="E196" s="47">
        <v>121746713</v>
      </c>
      <c r="F196" s="48">
        <v>45906</v>
      </c>
      <c r="G196" s="48">
        <v>45906</v>
      </c>
      <c r="H196" s="46" t="s">
        <v>435</v>
      </c>
      <c r="I196" s="49">
        <v>13669.94</v>
      </c>
      <c r="J196" s="46" t="s">
        <v>19</v>
      </c>
      <c r="K196" s="46" t="s">
        <v>441</v>
      </c>
      <c r="L196" s="46" t="s">
        <v>442</v>
      </c>
      <c r="M196" s="46" t="s">
        <v>190</v>
      </c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</row>
    <row r="197" spans="1:57" s="28" customFormat="1" x14ac:dyDescent="0.2">
      <c r="A197" s="65" t="s">
        <v>712</v>
      </c>
      <c r="B197" s="67">
        <v>42559882362</v>
      </c>
      <c r="C197" s="36"/>
      <c r="D197" s="37" t="s">
        <v>31</v>
      </c>
      <c r="E197" s="36">
        <v>351000073479584</v>
      </c>
      <c r="F197" s="38"/>
      <c r="G197" s="38"/>
      <c r="H197" s="92" t="s">
        <v>713</v>
      </c>
      <c r="I197" s="43">
        <v>13644.99</v>
      </c>
      <c r="J197" s="37" t="s">
        <v>19</v>
      </c>
      <c r="K197" s="37">
        <v>1949.28</v>
      </c>
      <c r="L197" s="65" t="s">
        <v>714</v>
      </c>
      <c r="M197" s="37" t="s">
        <v>25</v>
      </c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</row>
    <row r="198" spans="1:57" x14ac:dyDescent="0.2">
      <c r="A198" s="65" t="s">
        <v>206</v>
      </c>
      <c r="B198" s="36">
        <v>53401345454</v>
      </c>
      <c r="C198" s="36"/>
      <c r="D198" s="37" t="s">
        <v>31</v>
      </c>
      <c r="E198" s="36">
        <v>307000165396513</v>
      </c>
      <c r="F198" s="38">
        <v>45746</v>
      </c>
      <c r="G198" s="38">
        <v>45748</v>
      </c>
      <c r="H198" s="37" t="s">
        <v>735</v>
      </c>
      <c r="I198" s="43">
        <v>13585.71</v>
      </c>
      <c r="J198" s="37" t="s">
        <v>44</v>
      </c>
      <c r="K198" s="62">
        <v>1940.81</v>
      </c>
      <c r="L198" s="37" t="s">
        <v>736</v>
      </c>
      <c r="M198" s="37" t="s">
        <v>251</v>
      </c>
      <c r="N198" s="28"/>
      <c r="O198" s="28"/>
    </row>
    <row r="199" spans="1:57" s="28" customFormat="1" x14ac:dyDescent="0.2">
      <c r="A199" s="93" t="s">
        <v>755</v>
      </c>
      <c r="B199" s="36">
        <v>40756138688</v>
      </c>
      <c r="C199" s="36">
        <v>5335588348</v>
      </c>
      <c r="D199" s="37" t="s">
        <v>27</v>
      </c>
      <c r="E199" s="36">
        <v>311000414209111</v>
      </c>
      <c r="F199" s="38">
        <v>45749</v>
      </c>
      <c r="G199" s="38">
        <v>45749</v>
      </c>
      <c r="H199" s="63" t="s">
        <v>792</v>
      </c>
      <c r="I199" s="43">
        <v>13488.99</v>
      </c>
      <c r="J199" s="37" t="s">
        <v>19</v>
      </c>
      <c r="K199" s="62">
        <v>1204.3699999999999</v>
      </c>
      <c r="L199" s="37" t="s">
        <v>793</v>
      </c>
      <c r="M199" s="37" t="s">
        <v>251</v>
      </c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</row>
    <row r="200" spans="1:57" x14ac:dyDescent="0.2">
      <c r="A200" s="22" t="s">
        <v>275</v>
      </c>
      <c r="B200" s="23">
        <v>21040245558</v>
      </c>
      <c r="C200" s="23"/>
      <c r="D200" s="22" t="s">
        <v>27</v>
      </c>
      <c r="E200" s="23">
        <v>2000217110935</v>
      </c>
      <c r="F200" s="24">
        <v>45875</v>
      </c>
      <c r="G200" s="24">
        <v>45875</v>
      </c>
      <c r="H200" s="24" t="s">
        <v>906</v>
      </c>
      <c r="I200" s="52">
        <v>13486.41</v>
      </c>
      <c r="J200" s="22" t="s">
        <v>19</v>
      </c>
      <c r="K200" s="22">
        <v>722.48</v>
      </c>
      <c r="L200" s="22" t="s">
        <v>907</v>
      </c>
      <c r="M200" s="22" t="s">
        <v>185</v>
      </c>
      <c r="N200" s="21"/>
      <c r="O200" s="21"/>
    </row>
    <row r="201" spans="1:57" x14ac:dyDescent="0.2">
      <c r="A201" s="65" t="s">
        <v>206</v>
      </c>
      <c r="B201" s="36">
        <v>53401345454</v>
      </c>
      <c r="C201" s="36"/>
      <c r="D201" s="37" t="s">
        <v>27</v>
      </c>
      <c r="E201" s="36">
        <v>311000410787284</v>
      </c>
      <c r="F201" s="38">
        <v>45746</v>
      </c>
      <c r="G201" s="38">
        <v>45383</v>
      </c>
      <c r="H201" s="37" t="s">
        <v>735</v>
      </c>
      <c r="I201" s="43">
        <v>13443.98</v>
      </c>
      <c r="J201" s="37" t="s">
        <v>44</v>
      </c>
      <c r="K201" s="62">
        <v>1204.1099999999999</v>
      </c>
      <c r="L201" s="37" t="s">
        <v>736</v>
      </c>
      <c r="M201" s="37" t="s">
        <v>251</v>
      </c>
      <c r="N201" s="28"/>
      <c r="O201" s="28"/>
    </row>
    <row r="202" spans="1:57" x14ac:dyDescent="0.2">
      <c r="A202" s="22" t="s">
        <v>525</v>
      </c>
      <c r="B202" s="23">
        <v>28117844836</v>
      </c>
      <c r="C202" s="23"/>
      <c r="D202" s="22" t="s">
        <v>27</v>
      </c>
      <c r="E202" s="23">
        <v>453020141</v>
      </c>
      <c r="F202" s="24">
        <v>45965</v>
      </c>
      <c r="G202" s="24">
        <v>45968</v>
      </c>
      <c r="H202" s="22" t="s">
        <v>526</v>
      </c>
      <c r="I202" s="52">
        <v>13230.16</v>
      </c>
      <c r="J202" s="22" t="s">
        <v>44</v>
      </c>
      <c r="K202" s="22">
        <f>1189.13*0.6</f>
        <v>713.47800000000007</v>
      </c>
      <c r="L202" s="22" t="s">
        <v>527</v>
      </c>
      <c r="M202" s="22" t="s">
        <v>81</v>
      </c>
      <c r="N202" s="27">
        <v>21643</v>
      </c>
    </row>
    <row r="203" spans="1:57" s="28" customFormat="1" x14ac:dyDescent="0.2">
      <c r="A203" s="22" t="s">
        <v>57</v>
      </c>
      <c r="B203" s="23">
        <v>7680022666</v>
      </c>
      <c r="C203" s="23"/>
      <c r="D203" s="22" t="s">
        <v>27</v>
      </c>
      <c r="E203" s="23">
        <v>360216158</v>
      </c>
      <c r="F203" s="24">
        <v>45314</v>
      </c>
      <c r="G203" s="24"/>
      <c r="H203" s="22" t="s">
        <v>58</v>
      </c>
      <c r="I203" s="52">
        <v>13074.48</v>
      </c>
      <c r="J203" s="22" t="s">
        <v>20</v>
      </c>
      <c r="K203" s="22" t="s">
        <v>92</v>
      </c>
      <c r="L203" s="22" t="s">
        <v>1018</v>
      </c>
      <c r="M203" s="22" t="s">
        <v>59</v>
      </c>
      <c r="N203" s="20" t="s">
        <v>60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</row>
    <row r="204" spans="1:57" s="21" customFormat="1" x14ac:dyDescent="0.2">
      <c r="A204" s="37" t="s">
        <v>67</v>
      </c>
      <c r="B204" s="36">
        <v>5480440710</v>
      </c>
      <c r="C204" s="36"/>
      <c r="D204" s="37" t="s">
        <v>27</v>
      </c>
      <c r="E204" s="36">
        <v>93329645</v>
      </c>
      <c r="F204" s="38">
        <v>45310</v>
      </c>
      <c r="G204" s="38"/>
      <c r="H204" s="37" t="s">
        <v>61</v>
      </c>
      <c r="I204" s="43">
        <v>13050.24</v>
      </c>
      <c r="J204" s="37" t="s">
        <v>20</v>
      </c>
      <c r="K204" s="37">
        <v>1165.2</v>
      </c>
      <c r="L204" s="37"/>
      <c r="M204" s="37" t="s">
        <v>47</v>
      </c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</row>
    <row r="205" spans="1:57" x14ac:dyDescent="0.2">
      <c r="A205" s="37" t="s">
        <v>67</v>
      </c>
      <c r="B205" s="36">
        <v>5480440710</v>
      </c>
      <c r="C205" s="36"/>
      <c r="D205" s="37" t="s">
        <v>27</v>
      </c>
      <c r="E205" s="36">
        <v>93329238</v>
      </c>
      <c r="F205" s="38">
        <v>45311</v>
      </c>
      <c r="G205" s="38"/>
      <c r="H205" s="37" t="s">
        <v>62</v>
      </c>
      <c r="I205" s="43">
        <v>13050.24</v>
      </c>
      <c r="J205" s="37" t="s">
        <v>20</v>
      </c>
      <c r="K205" s="37">
        <v>1165.2</v>
      </c>
      <c r="L205" s="37"/>
      <c r="M205" s="37" t="s">
        <v>47</v>
      </c>
    </row>
    <row r="206" spans="1:57" s="28" customFormat="1" x14ac:dyDescent="0.2">
      <c r="A206" s="37" t="s">
        <v>67</v>
      </c>
      <c r="B206" s="36">
        <v>5480440710</v>
      </c>
      <c r="C206" s="36"/>
      <c r="D206" s="37" t="s">
        <v>27</v>
      </c>
      <c r="E206" s="36">
        <v>93329858</v>
      </c>
      <c r="F206" s="38">
        <v>45314</v>
      </c>
      <c r="G206" s="38"/>
      <c r="H206" s="37" t="s">
        <v>63</v>
      </c>
      <c r="I206" s="43">
        <v>13050.24</v>
      </c>
      <c r="J206" s="37" t="s">
        <v>20</v>
      </c>
      <c r="K206" s="37">
        <v>1165.2</v>
      </c>
      <c r="L206" s="37"/>
      <c r="M206" s="37" t="s">
        <v>47</v>
      </c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</row>
    <row r="207" spans="1:57" s="28" customFormat="1" x14ac:dyDescent="0.2">
      <c r="A207" s="37" t="s">
        <v>67</v>
      </c>
      <c r="B207" s="36">
        <v>5480440710</v>
      </c>
      <c r="C207" s="36"/>
      <c r="D207" s="37" t="s">
        <v>27</v>
      </c>
      <c r="E207" s="36">
        <v>93329936</v>
      </c>
      <c r="F207" s="38">
        <v>45314</v>
      </c>
      <c r="G207" s="38"/>
      <c r="H207" s="37" t="s">
        <v>64</v>
      </c>
      <c r="I207" s="43">
        <v>13050.24</v>
      </c>
      <c r="J207" s="37" t="s">
        <v>20</v>
      </c>
      <c r="K207" s="37">
        <v>1165.2</v>
      </c>
      <c r="L207" s="37"/>
      <c r="M207" s="37" t="s">
        <v>47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</row>
    <row r="208" spans="1:57" s="28" customFormat="1" x14ac:dyDescent="0.2">
      <c r="A208" s="37" t="s">
        <v>67</v>
      </c>
      <c r="B208" s="36">
        <v>5480440710</v>
      </c>
      <c r="C208" s="36"/>
      <c r="D208" s="37" t="s">
        <v>27</v>
      </c>
      <c r="E208" s="36">
        <v>93329999</v>
      </c>
      <c r="F208" s="38">
        <v>45314</v>
      </c>
      <c r="G208" s="38"/>
      <c r="H208" s="37" t="s">
        <v>65</v>
      </c>
      <c r="I208" s="43">
        <v>13050.24</v>
      </c>
      <c r="J208" s="37" t="s">
        <v>20</v>
      </c>
      <c r="K208" s="37">
        <v>1165.2</v>
      </c>
      <c r="L208" s="37"/>
      <c r="M208" s="37" t="s">
        <v>47</v>
      </c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</row>
    <row r="209" spans="1:57" s="21" customFormat="1" x14ac:dyDescent="0.2">
      <c r="A209" s="37" t="s">
        <v>67</v>
      </c>
      <c r="B209" s="36">
        <v>5480440710</v>
      </c>
      <c r="C209" s="36"/>
      <c r="D209" s="37" t="s">
        <v>27</v>
      </c>
      <c r="E209" s="36">
        <v>93329543</v>
      </c>
      <c r="F209" s="38">
        <v>45314</v>
      </c>
      <c r="G209" s="38"/>
      <c r="H209" s="37" t="s">
        <v>66</v>
      </c>
      <c r="I209" s="43">
        <v>13050.24</v>
      </c>
      <c r="J209" s="37" t="s">
        <v>20</v>
      </c>
      <c r="K209" s="37">
        <v>1165.2</v>
      </c>
      <c r="L209" s="37"/>
      <c r="M209" s="37" t="s">
        <v>47</v>
      </c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</row>
    <row r="210" spans="1:57" x14ac:dyDescent="0.2">
      <c r="A210" s="94" t="s">
        <v>13</v>
      </c>
      <c r="B210" s="95">
        <v>6211022844</v>
      </c>
      <c r="C210" s="95"/>
      <c r="D210" s="94" t="s">
        <v>27</v>
      </c>
      <c r="E210" s="95">
        <v>869848745</v>
      </c>
      <c r="F210" s="96">
        <v>45894</v>
      </c>
      <c r="G210" s="96">
        <v>45894</v>
      </c>
      <c r="H210" s="94" t="s">
        <v>942</v>
      </c>
      <c r="I210" s="97">
        <v>12947</v>
      </c>
      <c r="J210" s="94" t="s">
        <v>20</v>
      </c>
      <c r="K210" s="94">
        <v>1155.8599999999999</v>
      </c>
      <c r="L210" s="94" t="s">
        <v>943</v>
      </c>
      <c r="M210" s="94"/>
      <c r="N210" s="98"/>
      <c r="O210" s="98"/>
    </row>
    <row r="211" spans="1:57" s="28" customFormat="1" x14ac:dyDescent="0.2">
      <c r="A211" s="37" t="s">
        <v>301</v>
      </c>
      <c r="B211" s="36">
        <v>38587298572</v>
      </c>
      <c r="C211" s="36"/>
      <c r="D211" s="36" t="s">
        <v>31</v>
      </c>
      <c r="E211" s="36">
        <v>351000083086724</v>
      </c>
      <c r="F211" s="38">
        <v>45819</v>
      </c>
      <c r="G211" s="38">
        <v>45823</v>
      </c>
      <c r="H211" s="37" t="s">
        <v>302</v>
      </c>
      <c r="I211" s="43">
        <v>12944.82</v>
      </c>
      <c r="J211" s="36" t="s">
        <v>19</v>
      </c>
      <c r="K211" s="63">
        <v>1846.26</v>
      </c>
      <c r="L211" s="37" t="s">
        <v>308</v>
      </c>
      <c r="M211" s="36" t="s">
        <v>25</v>
      </c>
      <c r="N211" s="27">
        <v>18733</v>
      </c>
      <c r="O211" s="34"/>
      <c r="P211" s="20"/>
      <c r="Q211" s="20">
        <v>5521010105703150</v>
      </c>
      <c r="R211" s="20" t="s">
        <v>514</v>
      </c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</row>
    <row r="212" spans="1:57" s="28" customFormat="1" x14ac:dyDescent="0.2">
      <c r="A212" s="37" t="s">
        <v>13</v>
      </c>
      <c r="B212" s="36">
        <v>6211022844</v>
      </c>
      <c r="C212" s="36"/>
      <c r="D212" s="37" t="s">
        <v>27</v>
      </c>
      <c r="E212" s="36">
        <v>120363459</v>
      </c>
      <c r="F212" s="38">
        <v>45436</v>
      </c>
      <c r="G212" s="38">
        <v>45807</v>
      </c>
      <c r="H212" s="37" t="s">
        <v>257</v>
      </c>
      <c r="I212" s="43">
        <v>12806.46</v>
      </c>
      <c r="J212" s="37" t="s">
        <v>237</v>
      </c>
      <c r="K212" s="37">
        <v>1143.43</v>
      </c>
      <c r="L212" s="37"/>
      <c r="M212" s="37" t="s">
        <v>190</v>
      </c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</row>
    <row r="213" spans="1:57" s="28" customFormat="1" x14ac:dyDescent="0.2">
      <c r="A213" s="46" t="s">
        <v>511</v>
      </c>
      <c r="B213" s="47">
        <v>21188076632</v>
      </c>
      <c r="C213" s="47"/>
      <c r="D213" s="46" t="s">
        <v>27</v>
      </c>
      <c r="E213" s="47" t="s">
        <v>629</v>
      </c>
      <c r="F213" s="48">
        <v>45672</v>
      </c>
      <c r="G213" s="48">
        <v>46039</v>
      </c>
      <c r="H213" s="46" t="s">
        <v>628</v>
      </c>
      <c r="I213" s="49">
        <v>12750</v>
      </c>
      <c r="J213" s="46" t="s">
        <v>44</v>
      </c>
      <c r="K213" s="46">
        <v>1127.8699999999999</v>
      </c>
      <c r="L213" s="46" t="s">
        <v>626</v>
      </c>
      <c r="M213" s="46" t="s">
        <v>191</v>
      </c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</row>
    <row r="214" spans="1:57" s="28" customFormat="1" x14ac:dyDescent="0.2">
      <c r="A214" s="37" t="s">
        <v>120</v>
      </c>
      <c r="B214" s="36">
        <v>43720717988</v>
      </c>
      <c r="C214" s="36"/>
      <c r="D214" s="37" t="s">
        <v>27</v>
      </c>
      <c r="E214" s="36">
        <v>857989407</v>
      </c>
      <c r="F214" s="38">
        <v>45859</v>
      </c>
      <c r="G214" s="38">
        <v>45860</v>
      </c>
      <c r="H214" s="37" t="s">
        <v>374</v>
      </c>
      <c r="I214" s="43">
        <v>12745.14</v>
      </c>
      <c r="J214" s="37" t="s">
        <v>19</v>
      </c>
      <c r="K214" s="37">
        <v>1216.76</v>
      </c>
      <c r="L214" s="37" t="s">
        <v>375</v>
      </c>
      <c r="M214" s="37" t="s">
        <v>752</v>
      </c>
      <c r="N214" s="27" t="s">
        <v>388</v>
      </c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</row>
    <row r="215" spans="1:57" s="21" customFormat="1" x14ac:dyDescent="0.2">
      <c r="A215" s="22" t="s">
        <v>395</v>
      </c>
      <c r="B215" s="23">
        <v>35788545948</v>
      </c>
      <c r="C215" s="23" t="s">
        <v>400</v>
      </c>
      <c r="D215" s="22" t="s">
        <v>31</v>
      </c>
      <c r="E215" s="23">
        <v>136639040</v>
      </c>
      <c r="F215" s="24">
        <v>45497</v>
      </c>
      <c r="G215" s="24">
        <v>45497</v>
      </c>
      <c r="H215" s="22" t="s">
        <v>396</v>
      </c>
      <c r="I215" s="52">
        <v>12670.26</v>
      </c>
      <c r="J215" s="22" t="s">
        <v>20</v>
      </c>
      <c r="K215" s="22">
        <f>1810.25*0.6</f>
        <v>1086.1499999999999</v>
      </c>
      <c r="L215" s="22" t="s">
        <v>397</v>
      </c>
      <c r="M215" s="22" t="s">
        <v>398</v>
      </c>
      <c r="N215" s="20" t="s">
        <v>399</v>
      </c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</row>
    <row r="216" spans="1:57" x14ac:dyDescent="0.2">
      <c r="A216" s="65" t="s">
        <v>196</v>
      </c>
      <c r="B216" s="67">
        <v>16174573318</v>
      </c>
      <c r="C216" s="67"/>
      <c r="D216" s="65" t="s">
        <v>31</v>
      </c>
      <c r="E216" s="36">
        <v>821442651</v>
      </c>
      <c r="F216" s="68">
        <v>45745</v>
      </c>
      <c r="G216" s="68">
        <v>45747</v>
      </c>
      <c r="H216" s="65" t="s">
        <v>197</v>
      </c>
      <c r="I216" s="69">
        <v>12438.07</v>
      </c>
      <c r="J216" s="65" t="s">
        <v>44</v>
      </c>
      <c r="K216" s="37">
        <v>1780.74</v>
      </c>
      <c r="L216" s="65" t="s">
        <v>198</v>
      </c>
      <c r="M216" s="65" t="s">
        <v>751</v>
      </c>
      <c r="N216" s="99">
        <v>30783</v>
      </c>
      <c r="O216" s="70"/>
    </row>
    <row r="217" spans="1:57" x14ac:dyDescent="0.2">
      <c r="A217" s="56" t="s">
        <v>13</v>
      </c>
      <c r="B217" s="57">
        <v>6211022844</v>
      </c>
      <c r="C217" s="57"/>
      <c r="D217" s="56" t="s">
        <v>31</v>
      </c>
      <c r="E217" s="57">
        <v>870358158</v>
      </c>
      <c r="F217" s="58">
        <v>45895</v>
      </c>
      <c r="G217" s="58">
        <v>45895</v>
      </c>
      <c r="H217" s="56" t="s">
        <v>942</v>
      </c>
      <c r="I217" s="59">
        <v>12347.64</v>
      </c>
      <c r="J217" s="56" t="s">
        <v>20</v>
      </c>
      <c r="K217" s="56">
        <v>940.74</v>
      </c>
      <c r="L217" s="56"/>
      <c r="M217" s="56"/>
      <c r="N217" s="60" t="s">
        <v>850</v>
      </c>
      <c r="O217" s="60"/>
    </row>
    <row r="218" spans="1:57" s="21" customFormat="1" x14ac:dyDescent="0.2">
      <c r="A218" s="93" t="s">
        <v>199</v>
      </c>
      <c r="B218" s="36">
        <v>29872545068</v>
      </c>
      <c r="C218" s="36" t="s">
        <v>742</v>
      </c>
      <c r="D218" s="37" t="s">
        <v>31</v>
      </c>
      <c r="E218" s="36">
        <v>307000166247901</v>
      </c>
      <c r="F218" s="38">
        <v>45748</v>
      </c>
      <c r="G218" s="38">
        <v>45749</v>
      </c>
      <c r="H218" s="37" t="s">
        <v>200</v>
      </c>
      <c r="I218" s="43">
        <v>12285.4</v>
      </c>
      <c r="J218" s="37" t="s">
        <v>19</v>
      </c>
      <c r="K218" s="62">
        <v>1755</v>
      </c>
      <c r="L218" s="37" t="s">
        <v>201</v>
      </c>
      <c r="M218" s="37" t="s">
        <v>251</v>
      </c>
      <c r="N218" s="28" t="s">
        <v>754</v>
      </c>
      <c r="O218" s="28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</row>
    <row r="219" spans="1:57" x14ac:dyDescent="0.2">
      <c r="A219" s="37" t="s">
        <v>231</v>
      </c>
      <c r="B219" s="36">
        <v>17210963582</v>
      </c>
      <c r="C219" s="36"/>
      <c r="D219" s="37" t="s">
        <v>31</v>
      </c>
      <c r="E219" s="36">
        <v>120036543</v>
      </c>
      <c r="F219" s="38">
        <v>45414</v>
      </c>
      <c r="G219" s="38">
        <v>45782</v>
      </c>
      <c r="H219" s="37" t="s">
        <v>229</v>
      </c>
      <c r="I219" s="43">
        <v>12220.37</v>
      </c>
      <c r="J219" s="37" t="s">
        <v>44</v>
      </c>
      <c r="K219" s="37">
        <v>614.84</v>
      </c>
      <c r="L219" s="37" t="s">
        <v>230</v>
      </c>
      <c r="M219" s="37" t="s">
        <v>190</v>
      </c>
    </row>
    <row r="220" spans="1:57" s="28" customFormat="1" x14ac:dyDescent="0.2">
      <c r="A220" s="37" t="s">
        <v>760</v>
      </c>
      <c r="B220" s="36">
        <v>38509891744</v>
      </c>
      <c r="C220" s="36">
        <v>5443521508</v>
      </c>
      <c r="D220" s="37" t="s">
        <v>27</v>
      </c>
      <c r="E220" s="36">
        <v>826811723</v>
      </c>
      <c r="F220" s="38">
        <v>45758</v>
      </c>
      <c r="G220" s="38">
        <v>45771</v>
      </c>
      <c r="H220" s="37" t="s">
        <v>761</v>
      </c>
      <c r="I220" s="43">
        <v>12131.99</v>
      </c>
      <c r="J220" s="37" t="s">
        <v>19</v>
      </c>
      <c r="K220" s="37">
        <v>1158.7</v>
      </c>
      <c r="L220" s="37" t="s">
        <v>762</v>
      </c>
      <c r="M220" s="37" t="s">
        <v>751</v>
      </c>
      <c r="N220" s="50">
        <v>35935</v>
      </c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</row>
    <row r="221" spans="1:57" x14ac:dyDescent="0.2">
      <c r="A221" s="22" t="s">
        <v>652</v>
      </c>
      <c r="B221" s="23">
        <v>45121766800</v>
      </c>
      <c r="C221" s="23"/>
      <c r="D221" s="22"/>
      <c r="E221" s="23">
        <v>299891018495</v>
      </c>
      <c r="F221" s="24">
        <v>45680</v>
      </c>
      <c r="G221" s="24">
        <v>45680</v>
      </c>
      <c r="H221" s="22" t="s">
        <v>654</v>
      </c>
      <c r="I221" s="52">
        <v>11994.19</v>
      </c>
      <c r="J221" s="22" t="s">
        <v>44</v>
      </c>
      <c r="K221" s="22">
        <v>669.72</v>
      </c>
      <c r="L221" s="22" t="s">
        <v>655</v>
      </c>
      <c r="M221" s="22" t="s">
        <v>185</v>
      </c>
      <c r="N221" s="20" t="s">
        <v>653</v>
      </c>
    </row>
    <row r="222" spans="1:57" x14ac:dyDescent="0.2">
      <c r="A222" s="22" t="s">
        <v>206</v>
      </c>
      <c r="B222" s="23">
        <v>53401345454</v>
      </c>
      <c r="C222" s="23"/>
      <c r="D222" s="22" t="s">
        <v>31</v>
      </c>
      <c r="E222" s="23">
        <v>367128664</v>
      </c>
      <c r="F222" s="24">
        <v>45383</v>
      </c>
      <c r="G222" s="24"/>
      <c r="H222" s="22" t="s">
        <v>735</v>
      </c>
      <c r="I222" s="52">
        <v>11985.99</v>
      </c>
      <c r="J222" s="22" t="s">
        <v>44</v>
      </c>
      <c r="K222" s="66">
        <f>1669.93*0.6</f>
        <v>1001.958</v>
      </c>
      <c r="L222" s="22" t="s">
        <v>736</v>
      </c>
      <c r="M222" s="22" t="s">
        <v>59</v>
      </c>
    </row>
    <row r="223" spans="1:57" x14ac:dyDescent="0.2">
      <c r="A223" s="37" t="s">
        <v>570</v>
      </c>
      <c r="B223" s="36">
        <v>40609821774</v>
      </c>
      <c r="C223" s="36"/>
      <c r="D223" s="37" t="s">
        <v>31</v>
      </c>
      <c r="E223" s="36">
        <v>351000063845627</v>
      </c>
      <c r="F223" s="38">
        <v>45643</v>
      </c>
      <c r="G223" s="38">
        <v>46008</v>
      </c>
      <c r="H223" s="37" t="s">
        <v>572</v>
      </c>
      <c r="I223" s="43">
        <v>11949.92</v>
      </c>
      <c r="J223" s="37" t="s">
        <v>19</v>
      </c>
      <c r="K223" s="37">
        <v>1707.13</v>
      </c>
      <c r="L223" s="37" t="s">
        <v>573</v>
      </c>
      <c r="M223" s="37" t="s">
        <v>25</v>
      </c>
    </row>
    <row r="224" spans="1:57" s="28" customFormat="1" x14ac:dyDescent="0.2">
      <c r="A224" s="37" t="s">
        <v>570</v>
      </c>
      <c r="B224" s="36">
        <v>40609821774</v>
      </c>
      <c r="C224" s="36"/>
      <c r="D224" s="37" t="s">
        <v>31</v>
      </c>
      <c r="E224" s="36">
        <v>351000063845627</v>
      </c>
      <c r="F224" s="38">
        <v>45643</v>
      </c>
      <c r="G224" s="38">
        <v>46008</v>
      </c>
      <c r="H224" s="37" t="s">
        <v>572</v>
      </c>
      <c r="I224" s="43">
        <v>11949.92</v>
      </c>
      <c r="J224" s="37" t="s">
        <v>19</v>
      </c>
      <c r="K224" s="37">
        <v>1707.13</v>
      </c>
      <c r="L224" s="37" t="s">
        <v>573</v>
      </c>
      <c r="M224" s="37" t="s">
        <v>25</v>
      </c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</row>
    <row r="225" spans="1:227" s="64" customFormat="1" x14ac:dyDescent="0.2">
      <c r="A225" s="37" t="s">
        <v>368</v>
      </c>
      <c r="B225" s="36">
        <v>18682232664</v>
      </c>
      <c r="C225" s="36"/>
      <c r="D225" s="37" t="s">
        <v>27</v>
      </c>
      <c r="E225" s="36">
        <v>121064862</v>
      </c>
      <c r="F225" s="38">
        <v>45484</v>
      </c>
      <c r="G225" s="38">
        <v>45849</v>
      </c>
      <c r="H225" s="37" t="s">
        <v>369</v>
      </c>
      <c r="I225" s="43">
        <v>11926.03</v>
      </c>
      <c r="J225" s="37" t="s">
        <v>20</v>
      </c>
      <c r="K225" s="37">
        <v>1397</v>
      </c>
      <c r="L225" s="37" t="s">
        <v>370</v>
      </c>
      <c r="M225" s="37" t="s">
        <v>190</v>
      </c>
      <c r="N225" s="20" t="s">
        <v>371</v>
      </c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</row>
    <row r="226" spans="1:227" s="64" customFormat="1" x14ac:dyDescent="0.2">
      <c r="A226" s="46" t="s">
        <v>880</v>
      </c>
      <c r="B226" s="47">
        <v>34318636958</v>
      </c>
      <c r="C226" s="47"/>
      <c r="D226" s="46" t="s">
        <v>27</v>
      </c>
      <c r="E226" s="47">
        <v>594341694</v>
      </c>
      <c r="F226" s="48">
        <v>45878</v>
      </c>
      <c r="G226" s="48">
        <v>45880</v>
      </c>
      <c r="H226" s="46" t="s">
        <v>908</v>
      </c>
      <c r="I226" s="49">
        <v>11900.25</v>
      </c>
      <c r="J226" s="46" t="s">
        <v>44</v>
      </c>
      <c r="K226" s="71">
        <v>1080.9100000000001</v>
      </c>
      <c r="L226" s="46"/>
      <c r="M226" s="46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</row>
    <row r="227" spans="1:227" s="28" customFormat="1" x14ac:dyDescent="0.2">
      <c r="A227" s="22" t="s">
        <v>972</v>
      </c>
      <c r="B227" s="23">
        <v>15667999710</v>
      </c>
      <c r="C227" s="23"/>
      <c r="D227" s="22" t="s">
        <v>27</v>
      </c>
      <c r="E227" s="23">
        <v>2000238193501</v>
      </c>
      <c r="F227" s="24">
        <v>45944</v>
      </c>
      <c r="G227" s="24">
        <v>45946</v>
      </c>
      <c r="H227" s="22" t="s">
        <v>974</v>
      </c>
      <c r="I227" s="52">
        <v>11789</v>
      </c>
      <c r="J227" s="22" t="s">
        <v>44</v>
      </c>
      <c r="K227" s="22">
        <f>1052.6*0.6</f>
        <v>631.55999999999995</v>
      </c>
      <c r="L227" s="22" t="s">
        <v>975</v>
      </c>
      <c r="M227" s="22"/>
      <c r="N227" s="21" t="s">
        <v>973</v>
      </c>
      <c r="O227" s="21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</row>
    <row r="228" spans="1:227" x14ac:dyDescent="0.2">
      <c r="A228" s="22" t="s">
        <v>407</v>
      </c>
      <c r="B228" s="23">
        <v>36470090920</v>
      </c>
      <c r="C228" s="23"/>
      <c r="D228" s="22" t="s">
        <v>31</v>
      </c>
      <c r="E228" s="22">
        <v>159377625</v>
      </c>
      <c r="F228" s="24">
        <v>45866</v>
      </c>
      <c r="G228" s="24">
        <v>45867</v>
      </c>
      <c r="H228" s="22" t="s">
        <v>425</v>
      </c>
      <c r="I228" s="52">
        <v>11744.27</v>
      </c>
      <c r="J228" s="22" t="s">
        <v>44</v>
      </c>
      <c r="K228" s="22">
        <f>1678.12*0.6</f>
        <v>1006.8719999999998</v>
      </c>
      <c r="L228" s="22" t="s">
        <v>891</v>
      </c>
      <c r="M228" s="22" t="s">
        <v>398</v>
      </c>
      <c r="N228" s="20" t="s">
        <v>408</v>
      </c>
    </row>
    <row r="229" spans="1:227" x14ac:dyDescent="0.2">
      <c r="A229" s="37" t="s">
        <v>278</v>
      </c>
      <c r="B229" s="36">
        <v>24347359300</v>
      </c>
      <c r="C229" s="36"/>
      <c r="D229" s="37" t="s">
        <v>31</v>
      </c>
      <c r="E229" s="36">
        <v>764625159</v>
      </c>
      <c r="F229" s="38">
        <v>45922</v>
      </c>
      <c r="G229" s="38">
        <v>45927</v>
      </c>
      <c r="H229" s="37" t="s">
        <v>227</v>
      </c>
      <c r="I229" s="43">
        <v>11737.22</v>
      </c>
      <c r="J229" s="37" t="s">
        <v>44</v>
      </c>
      <c r="K229" s="37">
        <v>1680.19</v>
      </c>
      <c r="L229" s="37" t="s">
        <v>466</v>
      </c>
      <c r="M229" s="37" t="s">
        <v>757</v>
      </c>
      <c r="N229" s="28"/>
      <c r="O229" s="28"/>
    </row>
    <row r="230" spans="1:227" s="100" customFormat="1" x14ac:dyDescent="0.2">
      <c r="A230" s="37" t="s">
        <v>605</v>
      </c>
      <c r="B230" s="36">
        <v>50851756052</v>
      </c>
      <c r="C230" s="36">
        <v>5354182008</v>
      </c>
      <c r="D230" s="37" t="s">
        <v>31</v>
      </c>
      <c r="E230" s="36">
        <v>307000156217872</v>
      </c>
      <c r="F230" s="38">
        <v>45657</v>
      </c>
      <c r="G230" s="38">
        <v>46022</v>
      </c>
      <c r="H230" s="37" t="s">
        <v>600</v>
      </c>
      <c r="I230" s="43">
        <v>11719.48</v>
      </c>
      <c r="J230" s="37" t="s">
        <v>19</v>
      </c>
      <c r="K230" s="37">
        <v>1592.9</v>
      </c>
      <c r="L230" s="37" t="s">
        <v>601</v>
      </c>
      <c r="M230" s="37" t="s">
        <v>251</v>
      </c>
      <c r="N230" s="20" t="s">
        <v>599</v>
      </c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</row>
    <row r="231" spans="1:227" s="28" customFormat="1" x14ac:dyDescent="0.2">
      <c r="A231" s="37" t="s">
        <v>605</v>
      </c>
      <c r="B231" s="36">
        <v>50851756052</v>
      </c>
      <c r="C231" s="36">
        <v>5354182008</v>
      </c>
      <c r="D231" s="37" t="s">
        <v>31</v>
      </c>
      <c r="E231" s="36">
        <v>307000156217872</v>
      </c>
      <c r="F231" s="38">
        <v>45657</v>
      </c>
      <c r="G231" s="38">
        <v>46022</v>
      </c>
      <c r="H231" s="37" t="s">
        <v>600</v>
      </c>
      <c r="I231" s="43">
        <v>11719.48</v>
      </c>
      <c r="J231" s="37" t="s">
        <v>19</v>
      </c>
      <c r="K231" s="37">
        <v>1592.9</v>
      </c>
      <c r="L231" s="37" t="s">
        <v>601</v>
      </c>
      <c r="M231" s="37" t="s">
        <v>251</v>
      </c>
      <c r="N231" s="20" t="s">
        <v>599</v>
      </c>
      <c r="O231" s="20"/>
      <c r="P231" s="20"/>
      <c r="Q231" s="20">
        <v>21182076850</v>
      </c>
      <c r="R231" s="20" t="s">
        <v>515</v>
      </c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</row>
    <row r="232" spans="1:227" x14ac:dyDescent="0.2">
      <c r="A232" s="37" t="s">
        <v>450</v>
      </c>
      <c r="B232" s="36">
        <v>6211022844</v>
      </c>
      <c r="C232" s="36"/>
      <c r="D232" s="37" t="s">
        <v>27</v>
      </c>
      <c r="E232" s="36">
        <v>122387463</v>
      </c>
      <c r="F232" s="38">
        <v>45588</v>
      </c>
      <c r="G232" s="38">
        <v>45953</v>
      </c>
      <c r="H232" s="37" t="s">
        <v>504</v>
      </c>
      <c r="I232" s="43">
        <v>11706.43</v>
      </c>
      <c r="J232" s="37" t="s">
        <v>20</v>
      </c>
      <c r="K232" s="37">
        <v>1045.21</v>
      </c>
      <c r="L232" s="37" t="s">
        <v>505</v>
      </c>
      <c r="M232" s="37" t="s">
        <v>190</v>
      </c>
    </row>
    <row r="233" spans="1:227" s="28" customFormat="1" ht="12" thickBot="1" x14ac:dyDescent="0.25">
      <c r="A233" s="37" t="s">
        <v>301</v>
      </c>
      <c r="B233" s="36">
        <v>38587298572</v>
      </c>
      <c r="C233" s="36"/>
      <c r="D233" s="36" t="s">
        <v>31</v>
      </c>
      <c r="E233" s="36">
        <v>351000043551962</v>
      </c>
      <c r="F233" s="38">
        <v>45453</v>
      </c>
      <c r="G233" s="38">
        <v>45823</v>
      </c>
      <c r="H233" s="37" t="s">
        <v>302</v>
      </c>
      <c r="I233" s="43">
        <v>11632.68</v>
      </c>
      <c r="J233" s="36" t="s">
        <v>19</v>
      </c>
      <c r="K233" s="63">
        <v>1661.81</v>
      </c>
      <c r="L233" s="37" t="s">
        <v>308</v>
      </c>
      <c r="M233" s="36" t="s">
        <v>25</v>
      </c>
      <c r="N233" s="20"/>
      <c r="O233" s="34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</row>
    <row r="234" spans="1:227" s="28" customFormat="1" ht="12" thickBot="1" x14ac:dyDescent="0.25">
      <c r="A234" s="22" t="s">
        <v>278</v>
      </c>
      <c r="B234" s="23">
        <v>24347359300</v>
      </c>
      <c r="C234" s="23"/>
      <c r="D234" s="22" t="s">
        <v>31</v>
      </c>
      <c r="E234" s="23">
        <v>764625159</v>
      </c>
      <c r="F234" s="24">
        <v>45562</v>
      </c>
      <c r="G234" s="24">
        <v>45927</v>
      </c>
      <c r="H234" s="22" t="s">
        <v>227</v>
      </c>
      <c r="I234" s="52">
        <v>11412.45</v>
      </c>
      <c r="J234" s="22" t="s">
        <v>44</v>
      </c>
      <c r="K234" s="22">
        <v>979.54</v>
      </c>
      <c r="L234" s="22" t="s">
        <v>466</v>
      </c>
      <c r="M234" s="22" t="s">
        <v>876</v>
      </c>
      <c r="N234" s="20"/>
      <c r="O234" s="20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01"/>
      <c r="BG234" s="102"/>
      <c r="BH234" s="102"/>
      <c r="BI234" s="102"/>
      <c r="BJ234" s="102"/>
      <c r="BK234" s="102"/>
      <c r="BL234" s="102"/>
      <c r="BM234" s="102"/>
      <c r="BN234" s="102"/>
      <c r="BO234" s="102"/>
      <c r="BP234" s="102"/>
      <c r="BQ234" s="102"/>
      <c r="BR234" s="102"/>
      <c r="BS234" s="102"/>
      <c r="BT234" s="102"/>
      <c r="BU234" s="102"/>
      <c r="BV234" s="102"/>
      <c r="BW234" s="102"/>
      <c r="BX234" s="102"/>
      <c r="BY234" s="102"/>
      <c r="BZ234" s="102"/>
      <c r="CA234" s="102"/>
      <c r="CB234" s="102"/>
      <c r="CC234" s="102"/>
      <c r="CD234" s="102"/>
      <c r="CE234" s="102"/>
      <c r="CF234" s="102"/>
      <c r="CG234" s="102"/>
      <c r="CH234" s="102"/>
      <c r="CI234" s="102"/>
      <c r="CJ234" s="102"/>
      <c r="CK234" s="102"/>
      <c r="CL234" s="102"/>
      <c r="CM234" s="102"/>
      <c r="CN234" s="102"/>
      <c r="CO234" s="102"/>
      <c r="CP234" s="102"/>
      <c r="CQ234" s="102"/>
      <c r="CR234" s="102"/>
      <c r="CS234" s="102"/>
      <c r="CT234" s="102"/>
      <c r="CU234" s="102"/>
      <c r="CV234" s="102"/>
      <c r="CW234" s="102"/>
      <c r="CX234" s="102"/>
      <c r="CY234" s="102"/>
      <c r="CZ234" s="102"/>
      <c r="DA234" s="102"/>
      <c r="DB234" s="102"/>
      <c r="DC234" s="102"/>
      <c r="DD234" s="102"/>
      <c r="DE234" s="102"/>
      <c r="DF234" s="102"/>
      <c r="DG234" s="102"/>
      <c r="DH234" s="102"/>
      <c r="DI234" s="102"/>
      <c r="DJ234" s="102"/>
      <c r="DK234" s="102"/>
      <c r="DL234" s="102"/>
      <c r="DM234" s="102"/>
      <c r="DN234" s="102"/>
      <c r="DO234" s="102"/>
      <c r="DP234" s="102"/>
      <c r="DQ234" s="102"/>
      <c r="DR234" s="102"/>
      <c r="DS234" s="102"/>
      <c r="DT234" s="102"/>
      <c r="DU234" s="102"/>
      <c r="DV234" s="102"/>
      <c r="DW234" s="102"/>
      <c r="DX234" s="102"/>
      <c r="DY234" s="102"/>
      <c r="DZ234" s="102"/>
      <c r="EA234" s="102"/>
      <c r="EB234" s="102"/>
      <c r="EC234" s="102"/>
      <c r="ED234" s="102"/>
      <c r="EE234" s="102"/>
      <c r="EF234" s="102"/>
      <c r="EG234" s="102"/>
      <c r="EH234" s="102"/>
      <c r="EI234" s="102"/>
      <c r="EJ234" s="102"/>
      <c r="EK234" s="102"/>
      <c r="EL234" s="102"/>
      <c r="EM234" s="102"/>
      <c r="EN234" s="102"/>
      <c r="EO234" s="102"/>
      <c r="EP234" s="102"/>
      <c r="EQ234" s="102"/>
      <c r="ER234" s="102"/>
      <c r="ES234" s="102"/>
      <c r="ET234" s="102"/>
      <c r="EU234" s="102"/>
      <c r="EV234" s="102"/>
      <c r="EW234" s="102"/>
      <c r="EX234" s="102"/>
      <c r="EY234" s="102"/>
      <c r="EZ234" s="102"/>
      <c r="FA234" s="102"/>
      <c r="FB234" s="102"/>
      <c r="FC234" s="102"/>
      <c r="FD234" s="102"/>
      <c r="FE234" s="102"/>
      <c r="FF234" s="102"/>
      <c r="FG234" s="102"/>
      <c r="FH234" s="102"/>
      <c r="FI234" s="102"/>
      <c r="FJ234" s="102"/>
      <c r="FK234" s="102"/>
      <c r="FL234" s="102"/>
      <c r="FM234" s="102"/>
      <c r="FN234" s="102"/>
      <c r="FO234" s="102"/>
      <c r="FP234" s="102"/>
      <c r="FQ234" s="102"/>
      <c r="FR234" s="102"/>
      <c r="FS234" s="102"/>
      <c r="FT234" s="102"/>
      <c r="FU234" s="102"/>
      <c r="FV234" s="102"/>
      <c r="FW234" s="102"/>
      <c r="FX234" s="102"/>
      <c r="FY234" s="102"/>
      <c r="FZ234" s="102"/>
      <c r="GA234" s="102"/>
      <c r="GB234" s="102"/>
      <c r="GC234" s="102"/>
      <c r="GD234" s="102"/>
      <c r="GE234" s="102"/>
      <c r="GF234" s="102"/>
      <c r="GG234" s="102"/>
      <c r="GH234" s="102"/>
      <c r="GI234" s="102"/>
      <c r="GJ234" s="102"/>
      <c r="GK234" s="102"/>
      <c r="GL234" s="102"/>
      <c r="GM234" s="102"/>
      <c r="GN234" s="102"/>
      <c r="GO234" s="102"/>
      <c r="GP234" s="102"/>
      <c r="GQ234" s="102"/>
      <c r="GR234" s="102"/>
      <c r="GS234" s="102"/>
      <c r="GT234" s="102"/>
      <c r="GU234" s="102"/>
      <c r="GV234" s="102"/>
      <c r="GW234" s="102"/>
      <c r="GX234" s="102"/>
      <c r="GY234" s="102"/>
      <c r="GZ234" s="102"/>
      <c r="HA234" s="102"/>
      <c r="HB234" s="102"/>
      <c r="HC234" s="102"/>
      <c r="HD234" s="102"/>
      <c r="HE234" s="102"/>
      <c r="HF234" s="102"/>
      <c r="HG234" s="102"/>
      <c r="HH234" s="102"/>
      <c r="HI234" s="102"/>
      <c r="HJ234" s="102"/>
      <c r="HK234" s="102"/>
      <c r="HL234" s="102"/>
      <c r="HM234" s="102"/>
      <c r="HN234" s="102"/>
      <c r="HO234" s="102"/>
      <c r="HP234" s="102"/>
      <c r="HQ234" s="102"/>
      <c r="HR234" s="102"/>
      <c r="HS234" s="102"/>
    </row>
    <row r="235" spans="1:227" s="28" customFormat="1" ht="12" thickBot="1" x14ac:dyDescent="0.25">
      <c r="A235" s="37" t="s">
        <v>372</v>
      </c>
      <c r="B235" s="36">
        <v>17399590968</v>
      </c>
      <c r="C235" s="36"/>
      <c r="D235" s="37" t="s">
        <v>97</v>
      </c>
      <c r="E235" s="36">
        <v>602000002662699</v>
      </c>
      <c r="F235" s="38">
        <v>45489</v>
      </c>
      <c r="G235" s="38">
        <v>45854</v>
      </c>
      <c r="H235" s="37"/>
      <c r="I235" s="43">
        <v>11368.88</v>
      </c>
      <c r="J235" s="37" t="s">
        <v>44</v>
      </c>
      <c r="K235" s="37">
        <v>2273.7800000000002</v>
      </c>
      <c r="L235" s="37"/>
      <c r="M235" s="37" t="s">
        <v>25</v>
      </c>
      <c r="N235" s="27">
        <v>29090</v>
      </c>
      <c r="O235" s="20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01"/>
      <c r="BG235" s="102"/>
      <c r="BH235" s="102"/>
      <c r="BI235" s="102"/>
      <c r="BJ235" s="102"/>
      <c r="BK235" s="102"/>
      <c r="BL235" s="102"/>
      <c r="BM235" s="102"/>
      <c r="BN235" s="102"/>
      <c r="BO235" s="102"/>
      <c r="BP235" s="102"/>
      <c r="BQ235" s="102"/>
      <c r="BR235" s="102"/>
      <c r="BS235" s="102"/>
      <c r="BT235" s="102"/>
      <c r="BU235" s="102"/>
      <c r="BV235" s="102"/>
      <c r="BW235" s="102"/>
      <c r="BX235" s="102"/>
      <c r="BY235" s="102"/>
      <c r="BZ235" s="102"/>
      <c r="CA235" s="102"/>
      <c r="CB235" s="102"/>
      <c r="CC235" s="102"/>
      <c r="CD235" s="102"/>
      <c r="CE235" s="102"/>
      <c r="CF235" s="102"/>
      <c r="CG235" s="102"/>
      <c r="CH235" s="102"/>
      <c r="CI235" s="102"/>
      <c r="CJ235" s="102"/>
      <c r="CK235" s="102"/>
      <c r="CL235" s="102"/>
      <c r="CM235" s="102"/>
      <c r="CN235" s="102"/>
      <c r="CO235" s="102"/>
      <c r="CP235" s="102"/>
      <c r="CQ235" s="102"/>
      <c r="CR235" s="102"/>
      <c r="CS235" s="102"/>
      <c r="CT235" s="102"/>
      <c r="CU235" s="102"/>
      <c r="CV235" s="102"/>
      <c r="CW235" s="102"/>
      <c r="CX235" s="102"/>
      <c r="CY235" s="102"/>
      <c r="CZ235" s="102"/>
      <c r="DA235" s="102"/>
      <c r="DB235" s="102"/>
      <c r="DC235" s="102"/>
      <c r="DD235" s="102"/>
      <c r="DE235" s="102"/>
      <c r="DF235" s="102"/>
      <c r="DG235" s="102"/>
      <c r="DH235" s="102"/>
      <c r="DI235" s="102"/>
      <c r="DJ235" s="102"/>
      <c r="DK235" s="102"/>
      <c r="DL235" s="102"/>
      <c r="DM235" s="102"/>
      <c r="DN235" s="102"/>
      <c r="DO235" s="102"/>
      <c r="DP235" s="102"/>
      <c r="DQ235" s="102"/>
      <c r="DR235" s="102"/>
      <c r="DS235" s="102"/>
      <c r="DT235" s="102"/>
      <c r="DU235" s="102"/>
      <c r="DV235" s="102"/>
      <c r="DW235" s="102"/>
      <c r="DX235" s="102"/>
      <c r="DY235" s="102"/>
      <c r="DZ235" s="102"/>
      <c r="EA235" s="102"/>
      <c r="EB235" s="102"/>
      <c r="EC235" s="102"/>
      <c r="ED235" s="102"/>
      <c r="EE235" s="102"/>
      <c r="EF235" s="102"/>
      <c r="EG235" s="102"/>
      <c r="EH235" s="102"/>
      <c r="EI235" s="102"/>
      <c r="EJ235" s="102"/>
      <c r="EK235" s="102"/>
      <c r="EL235" s="102"/>
      <c r="EM235" s="102"/>
      <c r="EN235" s="102"/>
      <c r="EO235" s="102"/>
      <c r="EP235" s="102"/>
      <c r="EQ235" s="102"/>
      <c r="ER235" s="102"/>
      <c r="ES235" s="102"/>
      <c r="ET235" s="102"/>
      <c r="EU235" s="102"/>
      <c r="EV235" s="102"/>
      <c r="EW235" s="102"/>
      <c r="EX235" s="102"/>
      <c r="EY235" s="102"/>
      <c r="EZ235" s="102"/>
      <c r="FA235" s="102"/>
      <c r="FB235" s="102"/>
      <c r="FC235" s="102"/>
      <c r="FD235" s="102"/>
      <c r="FE235" s="102"/>
      <c r="FF235" s="102"/>
      <c r="FG235" s="102"/>
      <c r="FH235" s="102"/>
      <c r="FI235" s="102"/>
      <c r="FJ235" s="102"/>
      <c r="FK235" s="102"/>
      <c r="FL235" s="102"/>
      <c r="FM235" s="102"/>
      <c r="FN235" s="102"/>
      <c r="FO235" s="102"/>
      <c r="FP235" s="102"/>
      <c r="FQ235" s="102"/>
      <c r="FR235" s="102"/>
      <c r="FS235" s="102"/>
      <c r="FT235" s="102"/>
      <c r="FU235" s="102"/>
      <c r="FV235" s="102"/>
      <c r="FW235" s="102"/>
      <c r="FX235" s="102"/>
      <c r="FY235" s="102"/>
      <c r="FZ235" s="102"/>
      <c r="GA235" s="102"/>
      <c r="GB235" s="102"/>
      <c r="GC235" s="102"/>
      <c r="GD235" s="102"/>
      <c r="GE235" s="102"/>
      <c r="GF235" s="102"/>
      <c r="GG235" s="102"/>
      <c r="GH235" s="102"/>
      <c r="GI235" s="102"/>
      <c r="GJ235" s="102"/>
      <c r="GK235" s="102"/>
      <c r="GL235" s="102"/>
      <c r="GM235" s="102"/>
      <c r="GN235" s="102"/>
      <c r="GO235" s="102"/>
      <c r="GP235" s="102"/>
      <c r="GQ235" s="102"/>
      <c r="GR235" s="102"/>
      <c r="GS235" s="102"/>
      <c r="GT235" s="102"/>
      <c r="GU235" s="102"/>
      <c r="GV235" s="102"/>
      <c r="GW235" s="102"/>
      <c r="GX235" s="102"/>
      <c r="GY235" s="102"/>
      <c r="GZ235" s="102"/>
      <c r="HA235" s="102"/>
      <c r="HB235" s="102"/>
      <c r="HC235" s="102"/>
      <c r="HD235" s="102"/>
      <c r="HE235" s="102"/>
      <c r="HF235" s="102"/>
      <c r="HG235" s="102"/>
      <c r="HH235" s="102"/>
      <c r="HI235" s="102"/>
      <c r="HJ235" s="102"/>
      <c r="HK235" s="102"/>
      <c r="HL235" s="102"/>
      <c r="HM235" s="102"/>
      <c r="HN235" s="102"/>
      <c r="HO235" s="102"/>
      <c r="HP235" s="102"/>
      <c r="HQ235" s="102"/>
      <c r="HR235" s="102"/>
      <c r="HS235" s="102"/>
    </row>
    <row r="236" spans="1:227" x14ac:dyDescent="0.2">
      <c r="A236" s="37" t="s">
        <v>156</v>
      </c>
      <c r="B236" s="36">
        <v>26605894448</v>
      </c>
      <c r="C236" s="36"/>
      <c r="D236" s="37" t="s">
        <v>27</v>
      </c>
      <c r="E236" s="36">
        <v>894427656</v>
      </c>
      <c r="F236" s="38">
        <v>45972</v>
      </c>
      <c r="G236" s="38">
        <v>45972</v>
      </c>
      <c r="H236" s="37" t="s">
        <v>990</v>
      </c>
      <c r="I236" s="43">
        <v>11270.8</v>
      </c>
      <c r="J236" s="37" t="s">
        <v>19</v>
      </c>
      <c r="K236" s="37">
        <v>1054.4000000000001</v>
      </c>
      <c r="L236" s="37" t="s">
        <v>991</v>
      </c>
      <c r="M236" s="37" t="s">
        <v>752</v>
      </c>
      <c r="N236" s="50">
        <v>21296</v>
      </c>
      <c r="O236" s="28"/>
    </row>
    <row r="237" spans="1:227" x14ac:dyDescent="0.2">
      <c r="A237" s="22" t="s">
        <v>417</v>
      </c>
      <c r="B237" s="23">
        <v>19703341952</v>
      </c>
      <c r="C237" s="23"/>
      <c r="D237" s="22" t="s">
        <v>27</v>
      </c>
      <c r="E237" s="23">
        <v>1405582378</v>
      </c>
      <c r="F237" s="24">
        <v>45506</v>
      </c>
      <c r="G237" s="24">
        <v>45873</v>
      </c>
      <c r="H237" s="22" t="s">
        <v>418</v>
      </c>
      <c r="I237" s="52">
        <v>11238.9</v>
      </c>
      <c r="J237" s="22" t="s">
        <v>44</v>
      </c>
      <c r="K237" s="22">
        <v>616.21</v>
      </c>
      <c r="L237" s="22" t="s">
        <v>419</v>
      </c>
      <c r="M237" s="22" t="s">
        <v>179</v>
      </c>
      <c r="N237" s="81">
        <v>27414</v>
      </c>
      <c r="O237" s="21"/>
    </row>
    <row r="238" spans="1:227" x14ac:dyDescent="0.2">
      <c r="A238" s="37" t="s">
        <v>102</v>
      </c>
      <c r="B238" s="36">
        <v>18164569752</v>
      </c>
      <c r="C238" s="36"/>
      <c r="D238" s="37" t="s">
        <v>177</v>
      </c>
      <c r="E238" s="36">
        <v>351000036083317</v>
      </c>
      <c r="F238" s="38">
        <v>45358</v>
      </c>
      <c r="G238" s="38"/>
      <c r="H238" s="37" t="s">
        <v>171</v>
      </c>
      <c r="I238" s="43">
        <v>11158.38</v>
      </c>
      <c r="J238" s="37" t="s">
        <v>20</v>
      </c>
      <c r="K238" s="37">
        <v>1594.05</v>
      </c>
      <c r="L238" s="37" t="s">
        <v>704</v>
      </c>
      <c r="M238" s="37" t="s">
        <v>172</v>
      </c>
    </row>
    <row r="239" spans="1:227" s="28" customFormat="1" x14ac:dyDescent="0.2">
      <c r="A239" s="22" t="s">
        <v>67</v>
      </c>
      <c r="B239" s="23">
        <v>5480440710</v>
      </c>
      <c r="C239" s="23"/>
      <c r="D239" s="22" t="s">
        <v>42</v>
      </c>
      <c r="E239" s="23">
        <v>483891898</v>
      </c>
      <c r="F239" s="24">
        <v>45422</v>
      </c>
      <c r="G239" s="24">
        <v>45787</v>
      </c>
      <c r="H239" s="22" t="s">
        <v>242</v>
      </c>
      <c r="I239" s="52">
        <v>11109.74</v>
      </c>
      <c r="J239" s="22" t="s">
        <v>237</v>
      </c>
      <c r="K239" s="22">
        <f>1109.29*0.6</f>
        <v>665.57399999999996</v>
      </c>
      <c r="L239" s="22" t="s">
        <v>243</v>
      </c>
      <c r="M239" s="22" t="s">
        <v>90</v>
      </c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</row>
    <row r="240" spans="1:227" s="28" customFormat="1" x14ac:dyDescent="0.2">
      <c r="A240" s="22" t="s">
        <v>33</v>
      </c>
      <c r="B240" s="23">
        <v>21518791600</v>
      </c>
      <c r="C240" s="23"/>
      <c r="D240" s="22" t="s">
        <v>27</v>
      </c>
      <c r="E240" s="23">
        <v>537177684</v>
      </c>
      <c r="F240" s="24">
        <v>45646</v>
      </c>
      <c r="G240" s="24">
        <v>46019</v>
      </c>
      <c r="H240" s="22" t="s">
        <v>34</v>
      </c>
      <c r="I240" s="52">
        <v>11105.99</v>
      </c>
      <c r="J240" s="22" t="s">
        <v>19</v>
      </c>
      <c r="K240" s="22">
        <f>1018.85*0.6</f>
        <v>611.30999999999995</v>
      </c>
      <c r="L240" s="22" t="s">
        <v>35</v>
      </c>
      <c r="M240" s="22" t="s">
        <v>90</v>
      </c>
      <c r="N240" s="20" t="s">
        <v>578</v>
      </c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</row>
    <row r="241" spans="1:57" s="28" customFormat="1" x14ac:dyDescent="0.2">
      <c r="A241" s="22" t="s">
        <v>33</v>
      </c>
      <c r="B241" s="23">
        <v>21518791600</v>
      </c>
      <c r="C241" s="23"/>
      <c r="D241" s="22" t="s">
        <v>27</v>
      </c>
      <c r="E241" s="23">
        <v>537177684</v>
      </c>
      <c r="F241" s="24">
        <v>45646</v>
      </c>
      <c r="G241" s="24">
        <v>46019</v>
      </c>
      <c r="H241" s="22" t="s">
        <v>34</v>
      </c>
      <c r="I241" s="52">
        <v>11105.99</v>
      </c>
      <c r="J241" s="22" t="s">
        <v>19</v>
      </c>
      <c r="K241" s="22">
        <f>1018.85*0.6</f>
        <v>611.30999999999995</v>
      </c>
      <c r="L241" s="22" t="s">
        <v>35</v>
      </c>
      <c r="M241" s="22" t="s">
        <v>90</v>
      </c>
      <c r="N241" s="20" t="s">
        <v>578</v>
      </c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</row>
    <row r="242" spans="1:57" s="28" customFormat="1" x14ac:dyDescent="0.2">
      <c r="A242" s="37" t="s">
        <v>173</v>
      </c>
      <c r="B242" s="36">
        <v>62209226032</v>
      </c>
      <c r="C242" s="36"/>
      <c r="D242" s="37" t="s">
        <v>97</v>
      </c>
      <c r="E242" s="36">
        <v>2677251</v>
      </c>
      <c r="F242" s="38">
        <v>45371</v>
      </c>
      <c r="G242" s="38"/>
      <c r="H242" s="37"/>
      <c r="I242" s="43">
        <v>10981</v>
      </c>
      <c r="J242" s="37" t="s">
        <v>44</v>
      </c>
      <c r="K242" s="37">
        <v>1647.15</v>
      </c>
      <c r="L242" s="37"/>
      <c r="M242" s="37" t="s">
        <v>174</v>
      </c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</row>
    <row r="243" spans="1:57" s="28" customFormat="1" x14ac:dyDescent="0.2">
      <c r="A243" s="37" t="s">
        <v>160</v>
      </c>
      <c r="B243" s="36">
        <v>46834465134</v>
      </c>
      <c r="C243" s="36">
        <v>5363823683</v>
      </c>
      <c r="D243" s="36" t="s">
        <v>31</v>
      </c>
      <c r="E243" s="36">
        <v>871481824</v>
      </c>
      <c r="F243" s="38">
        <v>45539</v>
      </c>
      <c r="G243" s="38">
        <v>45904</v>
      </c>
      <c r="H243" s="37" t="s">
        <v>439</v>
      </c>
      <c r="I243" s="43">
        <v>10870.9</v>
      </c>
      <c r="J243" s="37" t="s">
        <v>44</v>
      </c>
      <c r="K243" s="37">
        <v>1556.63</v>
      </c>
      <c r="L243" s="37" t="s">
        <v>440</v>
      </c>
      <c r="M243" s="37" t="s">
        <v>752</v>
      </c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</row>
    <row r="244" spans="1:57" s="28" customFormat="1" x14ac:dyDescent="0.2">
      <c r="A244" s="22" t="s">
        <v>586</v>
      </c>
      <c r="B244" s="23">
        <v>38515891516</v>
      </c>
      <c r="C244" s="23">
        <v>5392178157</v>
      </c>
      <c r="D244" s="23" t="s">
        <v>27</v>
      </c>
      <c r="E244" s="23">
        <v>1380726988</v>
      </c>
      <c r="F244" s="24">
        <v>45826</v>
      </c>
      <c r="G244" s="24">
        <v>45826</v>
      </c>
      <c r="H244" s="22" t="s">
        <v>860</v>
      </c>
      <c r="I244" s="52">
        <v>10855.55</v>
      </c>
      <c r="J244" s="22" t="s">
        <v>19</v>
      </c>
      <c r="K244" s="22">
        <v>595.19000000000005</v>
      </c>
      <c r="L244" s="22" t="s">
        <v>861</v>
      </c>
      <c r="M244" s="22" t="s">
        <v>179</v>
      </c>
      <c r="N244" s="21"/>
      <c r="O244" s="21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</row>
    <row r="245" spans="1:57" s="21" customFormat="1" x14ac:dyDescent="0.2">
      <c r="A245" s="22" t="s">
        <v>52</v>
      </c>
      <c r="B245" s="23">
        <v>24368358672</v>
      </c>
      <c r="C245" s="23">
        <v>5330424634</v>
      </c>
      <c r="D245" s="22" t="s">
        <v>177</v>
      </c>
      <c r="E245" s="23">
        <v>288375159</v>
      </c>
      <c r="F245" s="24">
        <v>45412</v>
      </c>
      <c r="G245" s="24">
        <v>45782</v>
      </c>
      <c r="H245" s="22" t="s">
        <v>228</v>
      </c>
      <c r="I245" s="52">
        <v>10776.77</v>
      </c>
      <c r="J245" s="22" t="s">
        <v>44</v>
      </c>
      <c r="K245" s="22">
        <f>1678.05*0.6</f>
        <v>1006.8299999999999</v>
      </c>
      <c r="L245" s="22"/>
      <c r="M245" s="22" t="s">
        <v>81</v>
      </c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</row>
    <row r="246" spans="1:57" s="21" customFormat="1" x14ac:dyDescent="0.2">
      <c r="A246" s="22" t="s">
        <v>417</v>
      </c>
      <c r="B246" s="23">
        <v>19703341952</v>
      </c>
      <c r="C246" s="23"/>
      <c r="D246" s="22" t="s">
        <v>27</v>
      </c>
      <c r="E246" s="23">
        <v>1435269500</v>
      </c>
      <c r="F246" s="24">
        <v>45561</v>
      </c>
      <c r="G246" s="24">
        <v>45928</v>
      </c>
      <c r="H246" s="22" t="s">
        <v>443</v>
      </c>
      <c r="I246" s="52">
        <v>10633.76</v>
      </c>
      <c r="J246" s="22" t="s">
        <v>44</v>
      </c>
      <c r="K246" s="22">
        <f>968.88*0.65</f>
        <v>629.77200000000005</v>
      </c>
      <c r="L246" s="22" t="s">
        <v>457</v>
      </c>
      <c r="M246" s="22" t="s">
        <v>179</v>
      </c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</row>
    <row r="247" spans="1:57" s="21" customFormat="1" x14ac:dyDescent="0.2">
      <c r="A247" s="37" t="s">
        <v>368</v>
      </c>
      <c r="B247" s="36">
        <v>18682232664</v>
      </c>
      <c r="C247" s="36"/>
      <c r="D247" s="37" t="s">
        <v>31</v>
      </c>
      <c r="E247" s="36">
        <v>351000046686538</v>
      </c>
      <c r="F247" s="38">
        <v>45484</v>
      </c>
      <c r="G247" s="38">
        <v>45849</v>
      </c>
      <c r="H247" s="37" t="s">
        <v>369</v>
      </c>
      <c r="I247" s="43">
        <v>10598.51</v>
      </c>
      <c r="J247" s="37" t="s">
        <v>20</v>
      </c>
      <c r="K247" s="37">
        <v>1762.51</v>
      </c>
      <c r="L247" s="37" t="s">
        <v>370</v>
      </c>
      <c r="M247" s="37" t="s">
        <v>25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</row>
    <row r="248" spans="1:57" x14ac:dyDescent="0.2">
      <c r="A248" s="22" t="s">
        <v>23</v>
      </c>
      <c r="B248" s="23">
        <v>26533896866</v>
      </c>
      <c r="C248" s="23"/>
      <c r="D248" s="22" t="s">
        <v>97</v>
      </c>
      <c r="E248" s="23">
        <v>1071007518995</v>
      </c>
      <c r="F248" s="24">
        <v>45377</v>
      </c>
      <c r="G248" s="24"/>
      <c r="H248" s="22"/>
      <c r="I248" s="52">
        <v>10578.16</v>
      </c>
      <c r="J248" s="22" t="s">
        <v>19</v>
      </c>
      <c r="K248" s="66">
        <f>2115.63*0.6</f>
        <v>1269.3779999999999</v>
      </c>
      <c r="L248" s="22"/>
      <c r="M248" s="22" t="s">
        <v>191</v>
      </c>
      <c r="N248" s="20" t="s">
        <v>192</v>
      </c>
    </row>
    <row r="249" spans="1:57" x14ac:dyDescent="0.2">
      <c r="A249" s="22" t="s">
        <v>1008</v>
      </c>
      <c r="B249" s="23">
        <v>19382137778</v>
      </c>
      <c r="C249" s="23">
        <v>5315507466</v>
      </c>
      <c r="D249" s="22" t="s">
        <v>97</v>
      </c>
      <c r="E249" s="23">
        <v>1617357125</v>
      </c>
      <c r="F249" s="24">
        <v>45989</v>
      </c>
      <c r="G249" s="24">
        <v>45989</v>
      </c>
      <c r="H249" s="22"/>
      <c r="I249" s="25">
        <v>10506</v>
      </c>
      <c r="J249" s="22" t="s">
        <v>44</v>
      </c>
      <c r="K249" s="80">
        <f>2113.98*0.65</f>
        <v>1374.087</v>
      </c>
      <c r="L249" s="22"/>
      <c r="M249" s="22" t="s">
        <v>140</v>
      </c>
      <c r="N249" s="81" t="s">
        <v>1009</v>
      </c>
      <c r="O249" s="21"/>
    </row>
    <row r="250" spans="1:57" x14ac:dyDescent="0.2">
      <c r="A250" s="22" t="s">
        <v>525</v>
      </c>
      <c r="B250" s="23">
        <v>28117844836</v>
      </c>
      <c r="C250" s="23"/>
      <c r="D250" s="22" t="s">
        <v>27</v>
      </c>
      <c r="E250" s="23">
        <v>340970687</v>
      </c>
      <c r="F250" s="24">
        <v>45603</v>
      </c>
      <c r="G250" s="24">
        <v>45968</v>
      </c>
      <c r="H250" s="22" t="s">
        <v>526</v>
      </c>
      <c r="I250" s="52">
        <v>10498.56</v>
      </c>
      <c r="J250" s="22" t="s">
        <v>44</v>
      </c>
      <c r="K250" s="22">
        <f>943.66*0.6</f>
        <v>566.19599999999991</v>
      </c>
      <c r="L250" s="22" t="s">
        <v>527</v>
      </c>
      <c r="M250" s="22" t="s">
        <v>81</v>
      </c>
    </row>
    <row r="251" spans="1:57" x14ac:dyDescent="0.2">
      <c r="A251" s="22" t="s">
        <v>33</v>
      </c>
      <c r="B251" s="23">
        <v>21518791600</v>
      </c>
      <c r="C251" s="23"/>
      <c r="D251" s="22" t="s">
        <v>31</v>
      </c>
      <c r="E251" s="23">
        <v>1597262024</v>
      </c>
      <c r="F251" s="24">
        <v>45646</v>
      </c>
      <c r="G251" s="24">
        <v>46019</v>
      </c>
      <c r="H251" s="22" t="s">
        <v>34</v>
      </c>
      <c r="I251" s="52">
        <v>10490</v>
      </c>
      <c r="J251" s="22" t="s">
        <v>19</v>
      </c>
      <c r="K251" s="22">
        <f>1533.83*0.6</f>
        <v>920.29799999999989</v>
      </c>
      <c r="L251" s="22" t="s">
        <v>35</v>
      </c>
      <c r="M251" s="22" t="s">
        <v>140</v>
      </c>
    </row>
    <row r="252" spans="1:57" s="28" customFormat="1" x14ac:dyDescent="0.2">
      <c r="A252" s="22" t="s">
        <v>33</v>
      </c>
      <c r="B252" s="23">
        <v>21518791600</v>
      </c>
      <c r="C252" s="23"/>
      <c r="D252" s="22" t="s">
        <v>31</v>
      </c>
      <c r="E252" s="23">
        <v>1597262024</v>
      </c>
      <c r="F252" s="24">
        <v>45646</v>
      </c>
      <c r="G252" s="24">
        <v>46019</v>
      </c>
      <c r="H252" s="22" t="s">
        <v>34</v>
      </c>
      <c r="I252" s="52">
        <v>10490</v>
      </c>
      <c r="J252" s="22" t="s">
        <v>19</v>
      </c>
      <c r="K252" s="22">
        <f>1533.83*0.6</f>
        <v>920.29799999999989</v>
      </c>
      <c r="L252" s="22" t="s">
        <v>35</v>
      </c>
      <c r="M252" s="22" t="s">
        <v>140</v>
      </c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</row>
    <row r="253" spans="1:57" x14ac:dyDescent="0.2">
      <c r="A253" s="37" t="s">
        <v>855</v>
      </c>
      <c r="B253" s="36">
        <v>51538582018</v>
      </c>
      <c r="C253" s="36">
        <v>5444534253</v>
      </c>
      <c r="D253" s="36" t="s">
        <v>31</v>
      </c>
      <c r="E253" s="36">
        <v>100000383858327</v>
      </c>
      <c r="F253" s="38">
        <v>45824</v>
      </c>
      <c r="G253" s="38">
        <v>45824</v>
      </c>
      <c r="H253" s="37" t="s">
        <v>856</v>
      </c>
      <c r="I253" s="43">
        <v>10449.39</v>
      </c>
      <c r="J253" s="37" t="s">
        <v>19</v>
      </c>
      <c r="K253" s="37">
        <v>1492.77</v>
      </c>
      <c r="L253" s="37" t="s">
        <v>857</v>
      </c>
      <c r="M253" s="37" t="s">
        <v>186</v>
      </c>
    </row>
    <row r="254" spans="1:57" x14ac:dyDescent="0.2">
      <c r="A254" s="37" t="s">
        <v>52</v>
      </c>
      <c r="B254" s="36">
        <v>24368358672</v>
      </c>
      <c r="C254" s="36"/>
      <c r="D254" s="37" t="s">
        <v>31</v>
      </c>
      <c r="E254" s="36">
        <v>307000160969913</v>
      </c>
      <c r="F254" s="38">
        <v>45702</v>
      </c>
      <c r="G254" s="38">
        <v>45702</v>
      </c>
      <c r="H254" s="37" t="s">
        <v>691</v>
      </c>
      <c r="I254" s="43">
        <v>10332.32</v>
      </c>
      <c r="J254" s="37" t="s">
        <v>44</v>
      </c>
      <c r="K254" s="37">
        <v>1394.78</v>
      </c>
      <c r="L254" s="37" t="s">
        <v>695</v>
      </c>
      <c r="M254" s="37" t="s">
        <v>251</v>
      </c>
    </row>
    <row r="255" spans="1:57" s="21" customFormat="1" x14ac:dyDescent="0.2">
      <c r="A255" s="22" t="s">
        <v>745</v>
      </c>
      <c r="B255" s="23">
        <v>45853254668</v>
      </c>
      <c r="C255" s="23">
        <v>5365859325</v>
      </c>
      <c r="D255" s="22" t="s">
        <v>27</v>
      </c>
      <c r="E255" s="23">
        <v>1342227935</v>
      </c>
      <c r="F255" s="24">
        <v>45757</v>
      </c>
      <c r="G255" s="24">
        <v>45769</v>
      </c>
      <c r="H255" s="22" t="s">
        <v>749</v>
      </c>
      <c r="I255" s="52">
        <v>10214.879999999999</v>
      </c>
      <c r="J255" s="22" t="s">
        <v>19</v>
      </c>
      <c r="K255" s="22">
        <f>932.35*0.65</f>
        <v>606.02750000000003</v>
      </c>
      <c r="L255" s="22" t="s">
        <v>748</v>
      </c>
      <c r="M255" s="22" t="s">
        <v>179</v>
      </c>
      <c r="N255" s="81" t="s">
        <v>765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</row>
    <row r="256" spans="1:57" x14ac:dyDescent="0.2">
      <c r="A256" s="46" t="s">
        <v>13</v>
      </c>
      <c r="B256" s="47">
        <v>6211022844</v>
      </c>
      <c r="C256" s="47"/>
      <c r="D256" s="46" t="s">
        <v>27</v>
      </c>
      <c r="E256" s="47"/>
      <c r="F256" s="48">
        <v>45640</v>
      </c>
      <c r="G256" s="48">
        <v>46005</v>
      </c>
      <c r="H256" s="46" t="s">
        <v>18</v>
      </c>
      <c r="I256" s="49">
        <v>10127</v>
      </c>
      <c r="J256" s="46" t="s">
        <v>20</v>
      </c>
      <c r="K256" s="46">
        <v>904.1</v>
      </c>
      <c r="L256" s="46" t="s">
        <v>559</v>
      </c>
      <c r="M256" s="46" t="s">
        <v>190</v>
      </c>
      <c r="N256" s="20" t="s">
        <v>565</v>
      </c>
    </row>
    <row r="257" spans="1:226" s="28" customFormat="1" x14ac:dyDescent="0.2">
      <c r="A257" s="37" t="s">
        <v>255</v>
      </c>
      <c r="B257" s="37">
        <v>21043245494</v>
      </c>
      <c r="C257" s="36"/>
      <c r="D257" s="37" t="s">
        <v>31</v>
      </c>
      <c r="E257" s="36">
        <v>307000156172957</v>
      </c>
      <c r="F257" s="38">
        <v>45657</v>
      </c>
      <c r="G257" s="38">
        <v>46022</v>
      </c>
      <c r="H257" s="37" t="s">
        <v>292</v>
      </c>
      <c r="I257" s="43">
        <v>9964.4</v>
      </c>
      <c r="J257" s="37" t="s">
        <v>19</v>
      </c>
      <c r="K257" s="37">
        <v>1342.17</v>
      </c>
      <c r="L257" s="38" t="s">
        <v>602</v>
      </c>
      <c r="M257" s="37" t="s">
        <v>251</v>
      </c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</row>
    <row r="258" spans="1:226" s="28" customFormat="1" x14ac:dyDescent="0.2">
      <c r="A258" s="37" t="s">
        <v>255</v>
      </c>
      <c r="B258" s="37">
        <v>21043245494</v>
      </c>
      <c r="C258" s="36"/>
      <c r="D258" s="37" t="s">
        <v>31</v>
      </c>
      <c r="E258" s="36">
        <v>307000156172957</v>
      </c>
      <c r="F258" s="38">
        <v>45657</v>
      </c>
      <c r="G258" s="38">
        <v>46022</v>
      </c>
      <c r="H258" s="37" t="s">
        <v>292</v>
      </c>
      <c r="I258" s="43">
        <v>9964.4</v>
      </c>
      <c r="J258" s="37" t="s">
        <v>19</v>
      </c>
      <c r="K258" s="37">
        <v>1342.17</v>
      </c>
      <c r="L258" s="38" t="s">
        <v>602</v>
      </c>
      <c r="M258" s="37" t="s">
        <v>251</v>
      </c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</row>
    <row r="259" spans="1:226" s="44" customFormat="1" x14ac:dyDescent="0.2">
      <c r="A259" s="37" t="s">
        <v>67</v>
      </c>
      <c r="B259" s="36">
        <v>5480440710</v>
      </c>
      <c r="C259" s="36"/>
      <c r="D259" s="37" t="s">
        <v>42</v>
      </c>
      <c r="E259" s="36">
        <v>834421242</v>
      </c>
      <c r="F259" s="38">
        <v>45783</v>
      </c>
      <c r="G259" s="38">
        <v>45787</v>
      </c>
      <c r="H259" s="37" t="s">
        <v>242</v>
      </c>
      <c r="I259" s="43">
        <v>9920</v>
      </c>
      <c r="J259" s="37" t="s">
        <v>237</v>
      </c>
      <c r="K259" s="37">
        <v>885.62</v>
      </c>
      <c r="L259" s="37" t="s">
        <v>243</v>
      </c>
      <c r="M259" s="37" t="s">
        <v>751</v>
      </c>
      <c r="N259" s="28" t="s">
        <v>595</v>
      </c>
      <c r="O259" s="28"/>
    </row>
    <row r="260" spans="1:226" s="28" customFormat="1" x14ac:dyDescent="0.2">
      <c r="A260" s="22" t="s">
        <v>206</v>
      </c>
      <c r="B260" s="23">
        <v>53401345454</v>
      </c>
      <c r="C260" s="23"/>
      <c r="D260" s="22" t="s">
        <v>27</v>
      </c>
      <c r="E260" s="23">
        <v>1128989959</v>
      </c>
      <c r="F260" s="24">
        <v>45383</v>
      </c>
      <c r="G260" s="24"/>
      <c r="H260" s="22" t="s">
        <v>735</v>
      </c>
      <c r="I260" s="52">
        <v>9887.99</v>
      </c>
      <c r="J260" s="22" t="s">
        <v>44</v>
      </c>
      <c r="K260" s="66">
        <v>533.24</v>
      </c>
      <c r="L260" s="22" t="s">
        <v>736</v>
      </c>
      <c r="M260" s="22" t="s">
        <v>179</v>
      </c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</row>
    <row r="261" spans="1:226" x14ac:dyDescent="0.2">
      <c r="A261" s="35" t="s">
        <v>196</v>
      </c>
      <c r="B261" s="82">
        <v>16174573318</v>
      </c>
      <c r="C261" s="82" t="s">
        <v>741</v>
      </c>
      <c r="D261" s="35" t="s">
        <v>27</v>
      </c>
      <c r="E261" s="82">
        <v>299891018733</v>
      </c>
      <c r="F261" s="83">
        <v>45745</v>
      </c>
      <c r="G261" s="83">
        <v>45746</v>
      </c>
      <c r="H261" s="35" t="s">
        <v>197</v>
      </c>
      <c r="I261" s="84">
        <v>9841.65</v>
      </c>
      <c r="J261" s="35" t="s">
        <v>44</v>
      </c>
      <c r="K261" s="85">
        <f>878*0.6</f>
        <v>526.79999999999995</v>
      </c>
      <c r="L261" s="35"/>
      <c r="M261" s="35" t="s">
        <v>185</v>
      </c>
      <c r="N261" s="45" t="s">
        <v>25</v>
      </c>
      <c r="O261" s="45"/>
    </row>
    <row r="262" spans="1:226" x14ac:dyDescent="0.2">
      <c r="A262" s="37" t="s">
        <v>317</v>
      </c>
      <c r="B262" s="36">
        <v>29854545642</v>
      </c>
      <c r="C262" s="36"/>
      <c r="D262" s="36" t="s">
        <v>31</v>
      </c>
      <c r="E262" s="36">
        <v>100000383309965</v>
      </c>
      <c r="F262" s="38">
        <v>45823</v>
      </c>
      <c r="G262" s="38">
        <v>45823</v>
      </c>
      <c r="H262" s="37" t="s">
        <v>318</v>
      </c>
      <c r="I262" s="43">
        <v>9836.65</v>
      </c>
      <c r="J262" s="37" t="s">
        <v>19</v>
      </c>
      <c r="K262" s="37">
        <v>1405.24</v>
      </c>
      <c r="L262" s="37" t="s">
        <v>319</v>
      </c>
      <c r="M262" s="37" t="s">
        <v>186</v>
      </c>
      <c r="N262" s="20" t="s">
        <v>854</v>
      </c>
    </row>
    <row r="263" spans="1:226" s="28" customFormat="1" x14ac:dyDescent="0.2">
      <c r="A263" s="37" t="s">
        <v>409</v>
      </c>
      <c r="B263" s="36">
        <v>43807715050</v>
      </c>
      <c r="C263" s="36"/>
      <c r="D263" s="37" t="s">
        <v>31</v>
      </c>
      <c r="E263" s="36">
        <v>100000266687664</v>
      </c>
      <c r="F263" s="38">
        <v>45502</v>
      </c>
      <c r="G263" s="38">
        <v>45872</v>
      </c>
      <c r="H263" s="37" t="s">
        <v>410</v>
      </c>
      <c r="I263" s="43">
        <v>9719.7099999999991</v>
      </c>
      <c r="J263" s="37" t="s">
        <v>19</v>
      </c>
      <c r="K263" s="37">
        <v>1388.53</v>
      </c>
      <c r="L263" s="37" t="s">
        <v>411</v>
      </c>
      <c r="M263" s="37" t="s">
        <v>186</v>
      </c>
      <c r="N263" s="27" t="s">
        <v>416</v>
      </c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</row>
    <row r="264" spans="1:226" s="28" customFormat="1" x14ac:dyDescent="0.2">
      <c r="A264" s="37" t="s">
        <v>409</v>
      </c>
      <c r="B264" s="36">
        <v>43807715050</v>
      </c>
      <c r="C264" s="36"/>
      <c r="D264" s="37" t="s">
        <v>31</v>
      </c>
      <c r="E264" s="36">
        <v>307000181239018</v>
      </c>
      <c r="F264" s="38">
        <v>45870</v>
      </c>
      <c r="G264" s="38">
        <v>45872</v>
      </c>
      <c r="H264" s="37" t="s">
        <v>410</v>
      </c>
      <c r="I264" s="43">
        <v>9719.7099999999991</v>
      </c>
      <c r="J264" s="37" t="s">
        <v>19</v>
      </c>
      <c r="K264" s="37"/>
      <c r="L264" s="37" t="s">
        <v>411</v>
      </c>
      <c r="M264" s="37" t="s">
        <v>251</v>
      </c>
      <c r="N264" s="27" t="s">
        <v>416</v>
      </c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</row>
    <row r="265" spans="1:226" s="28" customFormat="1" x14ac:dyDescent="0.2">
      <c r="A265" s="37" t="s">
        <v>607</v>
      </c>
      <c r="B265" s="36">
        <v>15785037950</v>
      </c>
      <c r="C265" s="36"/>
      <c r="D265" s="37" t="s">
        <v>31</v>
      </c>
      <c r="E265" s="36">
        <v>351000066662336</v>
      </c>
      <c r="F265" s="38">
        <v>45662</v>
      </c>
      <c r="G265" s="38">
        <v>45673</v>
      </c>
      <c r="H265" s="37" t="s">
        <v>609</v>
      </c>
      <c r="I265" s="43">
        <v>9606.98</v>
      </c>
      <c r="J265" s="37" t="s">
        <v>44</v>
      </c>
      <c r="K265" s="37">
        <v>1372.43</v>
      </c>
      <c r="L265" s="37" t="s">
        <v>606</v>
      </c>
      <c r="M265" s="37" t="s">
        <v>25</v>
      </c>
      <c r="N265" s="20" t="s">
        <v>610</v>
      </c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</row>
    <row r="266" spans="1:226" s="100" customFormat="1" x14ac:dyDescent="0.2">
      <c r="A266" s="37" t="s">
        <v>913</v>
      </c>
      <c r="B266" s="36">
        <v>41488189306</v>
      </c>
      <c r="C266" s="36"/>
      <c r="D266" s="37" t="s">
        <v>27</v>
      </c>
      <c r="E266" s="36">
        <v>301000215625708</v>
      </c>
      <c r="F266" s="38">
        <v>45883</v>
      </c>
      <c r="G266" s="38">
        <v>45883</v>
      </c>
      <c r="H266" s="37" t="s">
        <v>917</v>
      </c>
      <c r="I266" s="43">
        <v>9537.58</v>
      </c>
      <c r="J266" s="37" t="s">
        <v>44</v>
      </c>
      <c r="K266" s="63">
        <v>867.05</v>
      </c>
      <c r="L266" s="37"/>
      <c r="M266" s="37" t="s">
        <v>25</v>
      </c>
      <c r="N266" s="50" t="s">
        <v>915</v>
      </c>
      <c r="O266" s="28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</row>
    <row r="267" spans="1:226" s="100" customFormat="1" x14ac:dyDescent="0.2">
      <c r="A267" s="37" t="s">
        <v>301</v>
      </c>
      <c r="B267" s="36">
        <v>38587298572</v>
      </c>
      <c r="C267" s="36"/>
      <c r="D267" s="36" t="s">
        <v>27</v>
      </c>
      <c r="E267" s="36">
        <v>126575762</v>
      </c>
      <c r="F267" s="38">
        <v>45818</v>
      </c>
      <c r="G267" s="38">
        <v>45823</v>
      </c>
      <c r="H267" s="37" t="s">
        <v>302</v>
      </c>
      <c r="I267" s="43">
        <v>9428.52</v>
      </c>
      <c r="J267" s="36" t="s">
        <v>19</v>
      </c>
      <c r="K267" s="37">
        <v>928.24</v>
      </c>
      <c r="L267" s="37" t="s">
        <v>308</v>
      </c>
      <c r="M267" s="36" t="s">
        <v>190</v>
      </c>
      <c r="N267" s="27">
        <v>18733</v>
      </c>
      <c r="O267" s="34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</row>
    <row r="268" spans="1:226" s="51" customFormat="1" x14ac:dyDescent="0.2">
      <c r="A268" s="37" t="s">
        <v>996</v>
      </c>
      <c r="B268" s="36">
        <v>17615664152</v>
      </c>
      <c r="C268" s="36" t="s">
        <v>997</v>
      </c>
      <c r="D268" s="37" t="s">
        <v>27</v>
      </c>
      <c r="E268" s="36">
        <v>100000471524787</v>
      </c>
      <c r="F268" s="38">
        <v>45985</v>
      </c>
      <c r="G268" s="38">
        <v>45991</v>
      </c>
      <c r="H268" s="37" t="s">
        <v>998</v>
      </c>
      <c r="I268" s="43">
        <v>9268.6200000000008</v>
      </c>
      <c r="J268" s="37" t="s">
        <v>19</v>
      </c>
      <c r="K268" s="37">
        <v>832.99</v>
      </c>
      <c r="L268" s="37" t="s">
        <v>999</v>
      </c>
      <c r="M268" s="37" t="s">
        <v>186</v>
      </c>
      <c r="N268" s="50" t="s">
        <v>1003</v>
      </c>
      <c r="O268" s="28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  <c r="BH268" s="44"/>
      <c r="BI268" s="44"/>
      <c r="BJ268" s="44"/>
      <c r="BK268" s="44"/>
      <c r="BL268" s="44"/>
      <c r="BM268" s="44"/>
      <c r="BN268" s="44"/>
      <c r="BO268" s="44"/>
      <c r="BP268" s="44"/>
      <c r="BQ268" s="44"/>
      <c r="BR268" s="44"/>
      <c r="BS268" s="44"/>
      <c r="BT268" s="44"/>
      <c r="BU268" s="44"/>
      <c r="BV268" s="44"/>
      <c r="BW268" s="44"/>
      <c r="BX268" s="44"/>
      <c r="BY268" s="44"/>
      <c r="BZ268" s="44"/>
      <c r="CA268" s="44"/>
      <c r="CB268" s="44"/>
      <c r="CC268" s="44"/>
      <c r="CD268" s="44"/>
      <c r="CE268" s="44"/>
      <c r="CF268" s="44"/>
      <c r="CG268" s="44"/>
      <c r="CH268" s="44"/>
      <c r="CI268" s="44"/>
      <c r="CJ268" s="44"/>
      <c r="CK268" s="44"/>
      <c r="CL268" s="44"/>
      <c r="CM268" s="44"/>
      <c r="CN268" s="44"/>
      <c r="CO268" s="44"/>
      <c r="CP268" s="44"/>
      <c r="CQ268" s="44"/>
      <c r="CR268" s="44"/>
      <c r="CS268" s="44"/>
      <c r="CT268" s="44"/>
      <c r="CU268" s="44"/>
      <c r="CV268" s="44"/>
      <c r="CW268" s="44"/>
      <c r="CX268" s="44"/>
      <c r="CY268" s="44"/>
      <c r="CZ268" s="44"/>
      <c r="DA268" s="44"/>
      <c r="DB268" s="44"/>
      <c r="DC268" s="44"/>
      <c r="DD268" s="44"/>
      <c r="DE268" s="44"/>
      <c r="DF268" s="44"/>
      <c r="DG268" s="44"/>
      <c r="DH268" s="44"/>
      <c r="DI268" s="44"/>
      <c r="DJ268" s="44"/>
      <c r="DK268" s="44"/>
      <c r="DL268" s="44"/>
      <c r="DM268" s="44"/>
      <c r="DN268" s="44"/>
      <c r="DO268" s="44"/>
      <c r="DP268" s="44"/>
      <c r="DQ268" s="44"/>
      <c r="DR268" s="44"/>
      <c r="DS268" s="44"/>
      <c r="DT268" s="44"/>
      <c r="DU268" s="44"/>
      <c r="DV268" s="44"/>
      <c r="DW268" s="44"/>
      <c r="DX268" s="44"/>
      <c r="DY268" s="44"/>
      <c r="DZ268" s="44"/>
      <c r="EA268" s="44"/>
      <c r="EB268" s="44"/>
      <c r="EC268" s="44"/>
      <c r="ED268" s="44"/>
      <c r="EE268" s="44"/>
      <c r="EF268" s="44"/>
      <c r="EG268" s="44"/>
      <c r="EH268" s="44"/>
      <c r="EI268" s="44"/>
      <c r="EJ268" s="44"/>
      <c r="EK268" s="44"/>
      <c r="EL268" s="44"/>
      <c r="EM268" s="44"/>
      <c r="EN268" s="44"/>
      <c r="EO268" s="44"/>
      <c r="EP268" s="44"/>
      <c r="EQ268" s="44"/>
      <c r="ER268" s="44"/>
      <c r="ES268" s="44"/>
      <c r="ET268" s="44"/>
      <c r="EU268" s="44"/>
      <c r="EV268" s="44"/>
      <c r="EW268" s="44"/>
      <c r="EX268" s="44"/>
      <c r="EY268" s="44"/>
      <c r="EZ268" s="44"/>
      <c r="FA268" s="44"/>
      <c r="FB268" s="44"/>
      <c r="FC268" s="44"/>
      <c r="FD268" s="44"/>
      <c r="FE268" s="44"/>
      <c r="FF268" s="44"/>
      <c r="FG268" s="44"/>
      <c r="FH268" s="44"/>
      <c r="FI268" s="44"/>
      <c r="FJ268" s="44"/>
      <c r="FK268" s="44"/>
      <c r="FL268" s="44"/>
      <c r="FM268" s="44"/>
      <c r="FN268" s="44"/>
      <c r="FO268" s="44"/>
      <c r="FP268" s="44"/>
      <c r="FQ268" s="44"/>
      <c r="FR268" s="44"/>
      <c r="FS268" s="44"/>
      <c r="FT268" s="44"/>
      <c r="FU268" s="44"/>
      <c r="FV268" s="44"/>
      <c r="FW268" s="44"/>
      <c r="FX268" s="44"/>
      <c r="FY268" s="44"/>
      <c r="FZ268" s="44"/>
      <c r="GA268" s="44"/>
      <c r="GB268" s="44"/>
      <c r="GC268" s="44"/>
      <c r="GD268" s="44"/>
      <c r="GE268" s="44"/>
      <c r="GF268" s="44"/>
      <c r="GG268" s="44"/>
      <c r="GH268" s="44"/>
      <c r="GI268" s="44"/>
      <c r="GJ268" s="44"/>
      <c r="GK268" s="44"/>
      <c r="GL268" s="44"/>
      <c r="GM268" s="44"/>
      <c r="GN268" s="44"/>
      <c r="GO268" s="44"/>
      <c r="GP268" s="44"/>
      <c r="GQ268" s="44"/>
      <c r="GR268" s="44"/>
      <c r="GS268" s="44"/>
      <c r="GT268" s="44"/>
      <c r="GU268" s="44"/>
      <c r="GV268" s="44"/>
      <c r="GW268" s="44"/>
      <c r="GX268" s="44"/>
      <c r="GY268" s="44"/>
      <c r="GZ268" s="44"/>
      <c r="HA268" s="44"/>
      <c r="HB268" s="44"/>
      <c r="HC268" s="44"/>
      <c r="HD268" s="44"/>
      <c r="HE268" s="44"/>
      <c r="HF268" s="44"/>
      <c r="HG268" s="44"/>
      <c r="HH268" s="44"/>
      <c r="HI268" s="44"/>
      <c r="HJ268" s="44"/>
      <c r="HK268" s="44"/>
      <c r="HL268" s="44"/>
      <c r="HM268" s="44"/>
      <c r="HN268" s="44"/>
      <c r="HO268" s="44"/>
      <c r="HP268" s="44"/>
      <c r="HQ268" s="44"/>
      <c r="HR268" s="44"/>
    </row>
    <row r="269" spans="1:226" s="28" customFormat="1" ht="15.6" customHeight="1" x14ac:dyDescent="0.2">
      <c r="A269" s="22" t="s">
        <v>13</v>
      </c>
      <c r="B269" s="23">
        <v>6211022844</v>
      </c>
      <c r="C269" s="23"/>
      <c r="D269" s="22" t="s">
        <v>27</v>
      </c>
      <c r="E269" s="23">
        <v>486058983</v>
      </c>
      <c r="F269" s="24">
        <v>45436</v>
      </c>
      <c r="G269" s="24">
        <v>45809</v>
      </c>
      <c r="H269" s="22" t="s">
        <v>256</v>
      </c>
      <c r="I269" s="52">
        <v>9177.0300000000007</v>
      </c>
      <c r="J269" s="22" t="s">
        <v>237</v>
      </c>
      <c r="K269" s="22">
        <f>819.38*0.6</f>
        <v>491.62799999999999</v>
      </c>
      <c r="L269" s="22"/>
      <c r="M269" s="22" t="s">
        <v>90</v>
      </c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</row>
    <row r="270" spans="1:226" s="28" customFormat="1" x14ac:dyDescent="0.2">
      <c r="A270" s="35" t="s">
        <v>294</v>
      </c>
      <c r="B270" s="82">
        <v>4811196831</v>
      </c>
      <c r="C270" s="82"/>
      <c r="D270" s="35" t="s">
        <v>27</v>
      </c>
      <c r="E270" s="82" t="s">
        <v>30</v>
      </c>
      <c r="F270" s="83">
        <v>45278</v>
      </c>
      <c r="G270" s="83"/>
      <c r="H270" s="35" t="s">
        <v>28</v>
      </c>
      <c r="I270" s="84">
        <v>9170.3799999999992</v>
      </c>
      <c r="J270" s="35" t="s">
        <v>20</v>
      </c>
      <c r="K270" s="35">
        <v>493.84</v>
      </c>
      <c r="L270" s="35"/>
      <c r="M270" s="35" t="s">
        <v>29</v>
      </c>
      <c r="N270" s="44"/>
      <c r="O270" s="44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20"/>
      <c r="EZ270" s="20"/>
      <c r="FA270" s="20"/>
      <c r="FB270" s="20"/>
      <c r="FC270" s="20"/>
      <c r="FD270" s="20"/>
      <c r="FE270" s="20"/>
      <c r="FF270" s="20"/>
      <c r="FG270" s="20"/>
      <c r="FH270" s="20"/>
      <c r="FI270" s="20"/>
      <c r="FJ270" s="20"/>
      <c r="FK270" s="20"/>
      <c r="FL270" s="20"/>
      <c r="FM270" s="20"/>
      <c r="FN270" s="20"/>
      <c r="FO270" s="20"/>
      <c r="FP270" s="20"/>
      <c r="FQ270" s="20"/>
      <c r="FR270" s="20"/>
      <c r="FS270" s="20"/>
      <c r="FT270" s="20"/>
      <c r="FU270" s="20"/>
      <c r="FV270" s="20"/>
      <c r="FW270" s="20"/>
      <c r="FX270" s="20"/>
      <c r="FY270" s="20"/>
      <c r="FZ270" s="20"/>
      <c r="GA270" s="20"/>
      <c r="GB270" s="20"/>
      <c r="GC270" s="20"/>
      <c r="GD270" s="20"/>
      <c r="GE270" s="20"/>
      <c r="GF270" s="20"/>
      <c r="GG270" s="20"/>
      <c r="GH270" s="20"/>
      <c r="GI270" s="20"/>
      <c r="GJ270" s="20"/>
      <c r="GK270" s="20"/>
      <c r="GL270" s="20"/>
      <c r="GM270" s="20"/>
      <c r="GN270" s="20"/>
      <c r="GO270" s="20"/>
      <c r="GP270" s="20"/>
      <c r="GQ270" s="20"/>
      <c r="GR270" s="20"/>
      <c r="GS270" s="20"/>
      <c r="GT270" s="20"/>
      <c r="GU270" s="20"/>
      <c r="GV270" s="20"/>
      <c r="GW270" s="20"/>
      <c r="GX270" s="20"/>
      <c r="GY270" s="20"/>
      <c r="GZ270" s="20"/>
      <c r="HA270" s="20"/>
      <c r="HB270" s="20"/>
      <c r="HC270" s="20"/>
      <c r="HD270" s="20"/>
      <c r="HE270" s="20"/>
      <c r="HF270" s="20"/>
      <c r="HG270" s="20"/>
      <c r="HH270" s="20"/>
      <c r="HI270" s="20"/>
      <c r="HJ270" s="20"/>
      <c r="HK270" s="20"/>
      <c r="HL270" s="20"/>
      <c r="HM270" s="20"/>
      <c r="HN270" s="20"/>
      <c r="HO270" s="20"/>
      <c r="HP270" s="20"/>
      <c r="HQ270" s="20"/>
      <c r="HR270" s="20"/>
    </row>
    <row r="271" spans="1:226" s="28" customFormat="1" x14ac:dyDescent="0.2">
      <c r="A271" s="22" t="s">
        <v>544</v>
      </c>
      <c r="B271" s="23">
        <v>60139551224</v>
      </c>
      <c r="C271" s="23">
        <v>5428097254</v>
      </c>
      <c r="D271" s="22" t="s">
        <v>31</v>
      </c>
      <c r="E271" s="103">
        <v>1072876587</v>
      </c>
      <c r="F271" s="24">
        <v>45267</v>
      </c>
      <c r="G271" s="24"/>
      <c r="H271" s="22" t="s">
        <v>10</v>
      </c>
      <c r="I271" s="52">
        <v>9153.5400000000009</v>
      </c>
      <c r="J271" s="22" t="s">
        <v>19</v>
      </c>
      <c r="K271" s="22">
        <v>784.59</v>
      </c>
      <c r="L271" s="22"/>
      <c r="M271" s="22" t="s">
        <v>68</v>
      </c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20"/>
      <c r="EZ271" s="20"/>
      <c r="FA271" s="20"/>
      <c r="FB271" s="20"/>
      <c r="FC271" s="20"/>
      <c r="FD271" s="20"/>
      <c r="FE271" s="20"/>
      <c r="FF271" s="20"/>
      <c r="FG271" s="20"/>
      <c r="FH271" s="20"/>
      <c r="FI271" s="20"/>
      <c r="FJ271" s="20"/>
      <c r="FK271" s="20"/>
      <c r="FL271" s="20"/>
      <c r="FM271" s="20"/>
      <c r="FN271" s="20"/>
      <c r="FO271" s="20"/>
      <c r="FP271" s="20"/>
      <c r="FQ271" s="20"/>
      <c r="FR271" s="20"/>
      <c r="FS271" s="20"/>
      <c r="FT271" s="20"/>
      <c r="FU271" s="20"/>
      <c r="FV271" s="20"/>
      <c r="FW271" s="20"/>
      <c r="FX271" s="20"/>
      <c r="FY271" s="20"/>
      <c r="FZ271" s="20"/>
      <c r="GA271" s="20"/>
      <c r="GB271" s="20"/>
      <c r="GC271" s="20"/>
      <c r="GD271" s="20"/>
      <c r="GE271" s="20"/>
      <c r="GF271" s="20"/>
      <c r="GG271" s="20"/>
      <c r="GH271" s="20"/>
      <c r="GI271" s="20"/>
      <c r="GJ271" s="20"/>
      <c r="GK271" s="20"/>
      <c r="GL271" s="20"/>
      <c r="GM271" s="20"/>
      <c r="GN271" s="20"/>
      <c r="GO271" s="20"/>
      <c r="GP271" s="20"/>
      <c r="GQ271" s="20"/>
      <c r="GR271" s="20"/>
      <c r="GS271" s="20"/>
      <c r="GT271" s="20"/>
      <c r="GU271" s="20"/>
      <c r="GV271" s="20"/>
      <c r="GW271" s="20"/>
      <c r="GX271" s="20"/>
      <c r="GY271" s="20"/>
      <c r="GZ271" s="20"/>
      <c r="HA271" s="20"/>
      <c r="HB271" s="20"/>
      <c r="HC271" s="20"/>
      <c r="HD271" s="20"/>
      <c r="HE271" s="20"/>
      <c r="HF271" s="20"/>
      <c r="HG271" s="20"/>
      <c r="HH271" s="20"/>
      <c r="HI271" s="20"/>
      <c r="HJ271" s="20"/>
      <c r="HK271" s="20"/>
      <c r="HL271" s="20"/>
      <c r="HM271" s="20"/>
      <c r="HN271" s="20"/>
      <c r="HO271" s="20"/>
      <c r="HP271" s="20"/>
      <c r="HQ271" s="20"/>
      <c r="HR271" s="20"/>
    </row>
    <row r="272" spans="1:226" s="28" customFormat="1" x14ac:dyDescent="0.2">
      <c r="A272" s="37" t="s">
        <v>393</v>
      </c>
      <c r="B272" s="36">
        <v>27509295874</v>
      </c>
      <c r="C272" s="36"/>
      <c r="D272" s="37" t="s">
        <v>97</v>
      </c>
      <c r="E272" s="36">
        <v>602000002725426</v>
      </c>
      <c r="F272" s="38">
        <v>45496</v>
      </c>
      <c r="G272" s="38">
        <v>45861</v>
      </c>
      <c r="H272" s="37"/>
      <c r="I272" s="43">
        <v>9135.6</v>
      </c>
      <c r="J272" s="37" t="s">
        <v>44</v>
      </c>
      <c r="K272" s="37">
        <v>1827.17</v>
      </c>
      <c r="L272" s="37"/>
      <c r="M272" s="37" t="s">
        <v>25</v>
      </c>
      <c r="N272" s="20" t="s">
        <v>394</v>
      </c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20"/>
      <c r="EZ272" s="20"/>
      <c r="FA272" s="20"/>
      <c r="FB272" s="20"/>
      <c r="FC272" s="20"/>
      <c r="FD272" s="20"/>
      <c r="FE272" s="20"/>
      <c r="FF272" s="20"/>
      <c r="FG272" s="20"/>
      <c r="FH272" s="20"/>
      <c r="FI272" s="20"/>
      <c r="FJ272" s="20"/>
      <c r="FK272" s="20"/>
      <c r="FL272" s="20"/>
      <c r="FM272" s="20"/>
      <c r="FN272" s="20"/>
      <c r="FO272" s="20"/>
      <c r="FP272" s="20"/>
      <c r="FQ272" s="20"/>
      <c r="FR272" s="20"/>
      <c r="FS272" s="20"/>
      <c r="FT272" s="20"/>
      <c r="FU272" s="20"/>
      <c r="FV272" s="20"/>
      <c r="FW272" s="20"/>
      <c r="FX272" s="20"/>
      <c r="FY272" s="20"/>
      <c r="FZ272" s="20"/>
      <c r="GA272" s="20"/>
      <c r="GB272" s="20"/>
      <c r="GC272" s="20"/>
      <c r="GD272" s="20"/>
      <c r="GE272" s="20"/>
      <c r="GF272" s="20"/>
      <c r="GG272" s="20"/>
      <c r="GH272" s="20"/>
      <c r="GI272" s="20"/>
      <c r="GJ272" s="20"/>
      <c r="GK272" s="20"/>
      <c r="GL272" s="20"/>
      <c r="GM272" s="20"/>
      <c r="GN272" s="20"/>
      <c r="GO272" s="20"/>
      <c r="GP272" s="20"/>
      <c r="GQ272" s="20"/>
      <c r="GR272" s="20"/>
      <c r="GS272" s="20"/>
      <c r="GT272" s="20"/>
      <c r="GU272" s="20"/>
      <c r="GV272" s="20"/>
      <c r="GW272" s="20"/>
      <c r="GX272" s="20"/>
      <c r="GY272" s="20"/>
      <c r="GZ272" s="20"/>
      <c r="HA272" s="20"/>
      <c r="HB272" s="20"/>
      <c r="HC272" s="20"/>
      <c r="HD272" s="20"/>
      <c r="HE272" s="20"/>
      <c r="HF272" s="20"/>
      <c r="HG272" s="20"/>
      <c r="HH272" s="20"/>
      <c r="HI272" s="20"/>
      <c r="HJ272" s="20"/>
      <c r="HK272" s="20"/>
      <c r="HL272" s="20"/>
      <c r="HM272" s="20"/>
      <c r="HN272" s="20"/>
      <c r="HO272" s="20"/>
      <c r="HP272" s="20"/>
      <c r="HQ272" s="20"/>
      <c r="HR272" s="20"/>
    </row>
    <row r="273" spans="1:226" s="28" customFormat="1" x14ac:dyDescent="0.2">
      <c r="A273" s="37" t="s">
        <v>799</v>
      </c>
      <c r="B273" s="36">
        <v>51058081626</v>
      </c>
      <c r="C273" s="36"/>
      <c r="D273" s="37" t="s">
        <v>27</v>
      </c>
      <c r="E273" s="36">
        <v>881377500</v>
      </c>
      <c r="F273" s="38">
        <v>45936</v>
      </c>
      <c r="G273" s="38">
        <v>45939</v>
      </c>
      <c r="H273" s="37" t="s">
        <v>958</v>
      </c>
      <c r="I273" s="43">
        <v>9100.19</v>
      </c>
      <c r="J273" s="37" t="s">
        <v>44</v>
      </c>
      <c r="K273" s="37">
        <v>826.11</v>
      </c>
      <c r="L273" s="37" t="s">
        <v>959</v>
      </c>
      <c r="M273" s="37" t="s">
        <v>752</v>
      </c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20"/>
      <c r="EZ273" s="20"/>
      <c r="FA273" s="20"/>
      <c r="FB273" s="20"/>
      <c r="FC273" s="20"/>
      <c r="FD273" s="20"/>
      <c r="FE273" s="20"/>
      <c r="FF273" s="20"/>
      <c r="FG273" s="20"/>
      <c r="FH273" s="20"/>
      <c r="FI273" s="20"/>
      <c r="FJ273" s="20"/>
      <c r="FK273" s="20"/>
      <c r="FL273" s="20"/>
      <c r="FM273" s="20"/>
      <c r="FN273" s="20"/>
      <c r="FO273" s="20"/>
      <c r="FP273" s="20"/>
      <c r="FQ273" s="20"/>
      <c r="FR273" s="20"/>
      <c r="FS273" s="20"/>
      <c r="FT273" s="20"/>
      <c r="FU273" s="20"/>
      <c r="FV273" s="20"/>
      <c r="FW273" s="20"/>
      <c r="FX273" s="20"/>
      <c r="FY273" s="20"/>
      <c r="FZ273" s="20"/>
      <c r="GA273" s="20"/>
      <c r="GB273" s="20"/>
      <c r="GC273" s="20"/>
      <c r="GD273" s="20"/>
      <c r="GE273" s="20"/>
      <c r="GF273" s="20"/>
      <c r="GG273" s="20"/>
      <c r="GH273" s="20"/>
      <c r="GI273" s="20"/>
      <c r="GJ273" s="20"/>
      <c r="GK273" s="20"/>
      <c r="GL273" s="20"/>
      <c r="GM273" s="20"/>
      <c r="GN273" s="20"/>
      <c r="GO273" s="20"/>
      <c r="GP273" s="20"/>
      <c r="GQ273" s="20"/>
      <c r="GR273" s="20"/>
      <c r="GS273" s="20"/>
      <c r="GT273" s="20"/>
      <c r="GU273" s="20"/>
      <c r="GV273" s="20"/>
      <c r="GW273" s="20"/>
      <c r="GX273" s="20"/>
      <c r="GY273" s="20"/>
      <c r="GZ273" s="20"/>
      <c r="HA273" s="20"/>
      <c r="HB273" s="20"/>
      <c r="HC273" s="20"/>
      <c r="HD273" s="20"/>
      <c r="HE273" s="20"/>
      <c r="HF273" s="20"/>
      <c r="HG273" s="20"/>
      <c r="HH273" s="20"/>
      <c r="HI273" s="20"/>
      <c r="HJ273" s="20"/>
      <c r="HK273" s="20"/>
      <c r="HL273" s="20"/>
      <c r="HM273" s="20"/>
      <c r="HN273" s="20"/>
      <c r="HO273" s="20"/>
      <c r="HP273" s="20"/>
      <c r="HQ273" s="20"/>
      <c r="HR273" s="20"/>
    </row>
    <row r="274" spans="1:226" s="28" customFormat="1" x14ac:dyDescent="0.2">
      <c r="A274" s="22" t="s">
        <v>43</v>
      </c>
      <c r="B274" s="23">
        <v>62323222248</v>
      </c>
      <c r="C274" s="23"/>
      <c r="D274" s="22" t="s">
        <v>27</v>
      </c>
      <c r="E274" s="23">
        <v>442496042</v>
      </c>
      <c r="F274" s="24">
        <v>45924</v>
      </c>
      <c r="G274" s="24">
        <v>45926</v>
      </c>
      <c r="H274" s="22" t="s">
        <v>464</v>
      </c>
      <c r="I274" s="52">
        <v>9010.59</v>
      </c>
      <c r="J274" s="22" t="s">
        <v>44</v>
      </c>
      <c r="K274" s="22">
        <v>485.93</v>
      </c>
      <c r="L274" s="22" t="s">
        <v>465</v>
      </c>
      <c r="M274" s="22" t="s">
        <v>81</v>
      </c>
      <c r="N274" s="21"/>
      <c r="O274" s="21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</row>
    <row r="275" spans="1:226" s="28" customFormat="1" x14ac:dyDescent="0.2">
      <c r="A275" s="37" t="s">
        <v>295</v>
      </c>
      <c r="B275" s="36">
        <v>1280416935</v>
      </c>
      <c r="C275" s="36"/>
      <c r="D275" s="37" t="s">
        <v>27</v>
      </c>
      <c r="E275" s="36">
        <v>120582127</v>
      </c>
      <c r="F275" s="38">
        <v>45450</v>
      </c>
      <c r="G275" s="38">
        <v>45815</v>
      </c>
      <c r="H275" s="37" t="s">
        <v>298</v>
      </c>
      <c r="I275" s="43">
        <v>8972.2999999999993</v>
      </c>
      <c r="J275" s="37" t="s">
        <v>20</v>
      </c>
      <c r="K275" s="37">
        <v>1179.8</v>
      </c>
      <c r="L275" s="37" t="s">
        <v>296</v>
      </c>
      <c r="M275" s="37" t="s">
        <v>190</v>
      </c>
      <c r="N275" s="20" t="s">
        <v>297</v>
      </c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</row>
    <row r="276" spans="1:226" x14ac:dyDescent="0.2">
      <c r="A276" s="39" t="s">
        <v>450</v>
      </c>
      <c r="B276" s="40">
        <v>6211022844</v>
      </c>
      <c r="C276" s="40"/>
      <c r="D276" s="39" t="s">
        <v>27</v>
      </c>
      <c r="E276" s="40">
        <v>803319695</v>
      </c>
      <c r="F276" s="41">
        <v>45685</v>
      </c>
      <c r="G276" s="41">
        <v>45692</v>
      </c>
      <c r="H276" s="39" t="s">
        <v>663</v>
      </c>
      <c r="I276" s="42">
        <v>8826</v>
      </c>
      <c r="J276" s="39" t="s">
        <v>20</v>
      </c>
      <c r="K276" s="39"/>
      <c r="L276" s="39" t="s">
        <v>664</v>
      </c>
      <c r="M276" s="39" t="s">
        <v>875</v>
      </c>
      <c r="N276" s="20" t="s">
        <v>646</v>
      </c>
    </row>
    <row r="277" spans="1:226" s="70" customFormat="1" x14ac:dyDescent="0.2">
      <c r="A277" s="22" t="s">
        <v>407</v>
      </c>
      <c r="B277" s="23">
        <v>36470090920</v>
      </c>
      <c r="C277" s="23"/>
      <c r="D277" s="22" t="s">
        <v>31</v>
      </c>
      <c r="E277" s="22">
        <v>136819716</v>
      </c>
      <c r="F277" s="24">
        <v>45502</v>
      </c>
      <c r="G277" s="24">
        <v>45867</v>
      </c>
      <c r="H277" s="22" t="s">
        <v>425</v>
      </c>
      <c r="I277" s="52">
        <v>8788.56</v>
      </c>
      <c r="J277" s="22" t="s">
        <v>44</v>
      </c>
      <c r="K277" s="22">
        <f>1255.75*0.6</f>
        <v>753.44999999999993</v>
      </c>
      <c r="L277" s="22"/>
      <c r="M277" s="22" t="s">
        <v>398</v>
      </c>
      <c r="N277" s="20" t="s">
        <v>408</v>
      </c>
      <c r="O277" s="20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</row>
    <row r="278" spans="1:226" x14ac:dyDescent="0.2">
      <c r="A278" s="37" t="s">
        <v>153</v>
      </c>
      <c r="B278" s="36">
        <v>26105394998</v>
      </c>
      <c r="C278" s="36"/>
      <c r="D278" s="37" t="s">
        <v>27</v>
      </c>
      <c r="E278" s="36">
        <v>96268868</v>
      </c>
      <c r="F278" s="38">
        <v>45348</v>
      </c>
      <c r="G278" s="38"/>
      <c r="H278" s="37" t="s">
        <v>158</v>
      </c>
      <c r="I278" s="43">
        <v>8759.58</v>
      </c>
      <c r="J278" s="37" t="s">
        <v>44</v>
      </c>
      <c r="K278" s="37">
        <v>797.96</v>
      </c>
      <c r="L278" s="37" t="s">
        <v>159</v>
      </c>
      <c r="M278" s="37" t="s">
        <v>22</v>
      </c>
    </row>
    <row r="279" spans="1:226" x14ac:dyDescent="0.2">
      <c r="A279" s="46" t="s">
        <v>153</v>
      </c>
      <c r="B279" s="47">
        <v>26105394998</v>
      </c>
      <c r="C279" s="47"/>
      <c r="D279" s="46" t="s">
        <v>27</v>
      </c>
      <c r="E279" s="47">
        <v>96268868</v>
      </c>
      <c r="F279" s="48">
        <v>45714</v>
      </c>
      <c r="G279" s="48">
        <v>45714</v>
      </c>
      <c r="H279" s="46" t="s">
        <v>158</v>
      </c>
      <c r="I279" s="49">
        <v>8759.58</v>
      </c>
      <c r="J279" s="46" t="s">
        <v>44</v>
      </c>
      <c r="K279" s="46">
        <v>797.96</v>
      </c>
      <c r="L279" s="46" t="s">
        <v>159</v>
      </c>
      <c r="M279" s="46" t="s">
        <v>22</v>
      </c>
    </row>
    <row r="280" spans="1:226" s="28" customFormat="1" x14ac:dyDescent="0.2">
      <c r="A280" s="72" t="s">
        <v>102</v>
      </c>
      <c r="B280" s="72">
        <v>18164569752</v>
      </c>
      <c r="C280" s="104"/>
      <c r="D280" s="105" t="s">
        <v>31</v>
      </c>
      <c r="E280" s="106">
        <v>813850245</v>
      </c>
      <c r="F280" s="107">
        <v>45723</v>
      </c>
      <c r="G280" s="107">
        <v>45723</v>
      </c>
      <c r="H280" s="108" t="s">
        <v>171</v>
      </c>
      <c r="I280" s="109">
        <v>8738.85</v>
      </c>
      <c r="J280" s="72" t="s">
        <v>20</v>
      </c>
      <c r="K280" s="72"/>
      <c r="L280" s="72" t="s">
        <v>704</v>
      </c>
      <c r="M280" s="39" t="s">
        <v>875</v>
      </c>
      <c r="N280" s="44"/>
      <c r="O280" s="44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  <c r="EP280" s="20"/>
      <c r="EQ280" s="20"/>
      <c r="ER280" s="20"/>
      <c r="ES280" s="20"/>
      <c r="ET280" s="20"/>
      <c r="EU280" s="20"/>
      <c r="EV280" s="20"/>
      <c r="EW280" s="20"/>
      <c r="EX280" s="20"/>
      <c r="EY280" s="20"/>
      <c r="EZ280" s="20"/>
      <c r="FA280" s="20"/>
      <c r="FB280" s="20"/>
      <c r="FC280" s="20"/>
      <c r="FD280" s="20"/>
      <c r="FE280" s="20"/>
      <c r="FF280" s="20"/>
      <c r="FG280" s="20"/>
      <c r="FH280" s="20"/>
      <c r="FI280" s="20"/>
      <c r="FJ280" s="20"/>
      <c r="FK280" s="20"/>
      <c r="FL280" s="20"/>
      <c r="FM280" s="20"/>
      <c r="FN280" s="20"/>
      <c r="FO280" s="20"/>
      <c r="FP280" s="20"/>
      <c r="FQ280" s="20"/>
      <c r="FR280" s="20"/>
      <c r="FS280" s="20"/>
      <c r="FT280" s="20"/>
      <c r="FU280" s="20"/>
      <c r="FV280" s="20"/>
      <c r="FW280" s="20"/>
      <c r="FX280" s="20"/>
      <c r="FY280" s="20"/>
      <c r="FZ280" s="20"/>
      <c r="GA280" s="20"/>
      <c r="GB280" s="20"/>
      <c r="GC280" s="20"/>
      <c r="GD280" s="20"/>
      <c r="GE280" s="20"/>
      <c r="GF280" s="20"/>
      <c r="GG280" s="20"/>
      <c r="GH280" s="20"/>
      <c r="GI280" s="20"/>
      <c r="GJ280" s="20"/>
      <c r="GK280" s="20"/>
      <c r="GL280" s="20"/>
      <c r="GM280" s="20"/>
      <c r="GN280" s="20"/>
      <c r="GO280" s="20"/>
      <c r="GP280" s="20"/>
      <c r="GQ280" s="20"/>
      <c r="GR280" s="20"/>
      <c r="GS280" s="20"/>
      <c r="GT280" s="20"/>
      <c r="GU280" s="20"/>
      <c r="GV280" s="20"/>
      <c r="GW280" s="20"/>
      <c r="GX280" s="20"/>
      <c r="GY280" s="20"/>
      <c r="GZ280" s="20"/>
      <c r="HA280" s="20"/>
      <c r="HB280" s="20"/>
      <c r="HC280" s="20"/>
      <c r="HD280" s="20"/>
      <c r="HE280" s="20"/>
      <c r="HF280" s="20"/>
      <c r="HG280" s="20"/>
      <c r="HH280" s="20"/>
      <c r="HI280" s="20"/>
      <c r="HJ280" s="20"/>
      <c r="HK280" s="20"/>
      <c r="HL280" s="20"/>
      <c r="HM280" s="20"/>
      <c r="HN280" s="20"/>
      <c r="HO280" s="20"/>
      <c r="HP280" s="20"/>
      <c r="HQ280" s="20"/>
      <c r="HR280" s="20"/>
    </row>
    <row r="281" spans="1:226" x14ac:dyDescent="0.2">
      <c r="A281" s="37" t="s">
        <v>511</v>
      </c>
      <c r="B281" s="36">
        <v>21188076632</v>
      </c>
      <c r="C281" s="36"/>
      <c r="D281" s="37" t="s">
        <v>27</v>
      </c>
      <c r="E281" s="36">
        <v>108254236</v>
      </c>
      <c r="F281" s="38">
        <v>45599</v>
      </c>
      <c r="G281" s="38">
        <v>45599</v>
      </c>
      <c r="H281" s="37" t="s">
        <v>512</v>
      </c>
      <c r="I281" s="43">
        <v>8729.81</v>
      </c>
      <c r="J281" s="37" t="s">
        <v>44</v>
      </c>
      <c r="K281" s="37">
        <v>795.7</v>
      </c>
      <c r="L281" s="37" t="s">
        <v>513</v>
      </c>
      <c r="M281" s="37" t="s">
        <v>22</v>
      </c>
      <c r="N281" s="27">
        <v>24056</v>
      </c>
    </row>
    <row r="282" spans="1:226" s="100" customFormat="1" x14ac:dyDescent="0.2">
      <c r="A282" s="37" t="s">
        <v>832</v>
      </c>
      <c r="B282" s="36">
        <v>23237530904</v>
      </c>
      <c r="C282" s="36"/>
      <c r="D282" s="36" t="s">
        <v>31</v>
      </c>
      <c r="E282" s="36">
        <v>351000082445265</v>
      </c>
      <c r="F282" s="38">
        <v>45808</v>
      </c>
      <c r="G282" s="38">
        <v>45813</v>
      </c>
      <c r="H282" s="37" t="s">
        <v>833</v>
      </c>
      <c r="I282" s="43">
        <v>8669.73</v>
      </c>
      <c r="J282" s="36" t="s">
        <v>44</v>
      </c>
      <c r="K282" s="37">
        <v>1238.53</v>
      </c>
      <c r="L282" s="38" t="s">
        <v>834</v>
      </c>
      <c r="M282" s="36" t="s">
        <v>25</v>
      </c>
      <c r="N282" s="28" t="s">
        <v>837</v>
      </c>
      <c r="O282" s="28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</row>
    <row r="283" spans="1:226" s="100" customFormat="1" x14ac:dyDescent="0.2">
      <c r="A283" s="37" t="s">
        <v>511</v>
      </c>
      <c r="B283" s="36">
        <v>21188076632</v>
      </c>
      <c r="C283" s="36"/>
      <c r="D283" s="37" t="s">
        <v>31</v>
      </c>
      <c r="E283" s="36">
        <v>351000062093453</v>
      </c>
      <c r="F283" s="38">
        <v>45632</v>
      </c>
      <c r="G283" s="38">
        <v>46002</v>
      </c>
      <c r="H283" s="37" t="s">
        <v>512</v>
      </c>
      <c r="I283" s="43">
        <v>8667.86</v>
      </c>
      <c r="J283" s="37" t="s">
        <v>44</v>
      </c>
      <c r="K283" s="37">
        <v>1238.27</v>
      </c>
      <c r="L283" s="37"/>
      <c r="M283" s="37" t="s">
        <v>25</v>
      </c>
      <c r="N283" s="27">
        <v>24056</v>
      </c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</row>
    <row r="284" spans="1:226" s="100" customFormat="1" x14ac:dyDescent="0.2">
      <c r="A284" s="35" t="s">
        <v>275</v>
      </c>
      <c r="B284" s="82">
        <v>21040245558</v>
      </c>
      <c r="C284" s="82"/>
      <c r="D284" s="35" t="s">
        <v>27</v>
      </c>
      <c r="E284" s="82">
        <v>299891019052</v>
      </c>
      <c r="F284" s="83">
        <v>45782</v>
      </c>
      <c r="G284" s="83"/>
      <c r="H284" s="35" t="s">
        <v>808</v>
      </c>
      <c r="I284" s="84">
        <v>8655.57</v>
      </c>
      <c r="J284" s="35" t="s">
        <v>19</v>
      </c>
      <c r="K284" s="35"/>
      <c r="L284" s="35" t="s">
        <v>810</v>
      </c>
      <c r="M284" s="35" t="s">
        <v>185</v>
      </c>
      <c r="N284" s="45"/>
      <c r="O284" s="45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</row>
    <row r="285" spans="1:226" s="100" customFormat="1" x14ac:dyDescent="0.2">
      <c r="A285" s="22" t="s">
        <v>820</v>
      </c>
      <c r="B285" s="23">
        <v>32249098692</v>
      </c>
      <c r="C285" s="22"/>
      <c r="D285" s="22" t="s">
        <v>27</v>
      </c>
      <c r="E285" s="23">
        <v>299891019203</v>
      </c>
      <c r="F285" s="24">
        <v>45803</v>
      </c>
      <c r="G285" s="24">
        <v>45803</v>
      </c>
      <c r="H285" s="22" t="s">
        <v>821</v>
      </c>
      <c r="I285" s="52">
        <v>8655.57</v>
      </c>
      <c r="J285" s="22" t="s">
        <v>44</v>
      </c>
      <c r="K285" s="22"/>
      <c r="L285" s="22"/>
      <c r="M285" s="22" t="s">
        <v>185</v>
      </c>
      <c r="N285" s="81">
        <v>32446</v>
      </c>
      <c r="O285" s="21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</row>
    <row r="286" spans="1:226" s="100" customFormat="1" x14ac:dyDescent="0.2">
      <c r="A286" s="37" t="s">
        <v>167</v>
      </c>
      <c r="B286" s="36">
        <v>62353221228</v>
      </c>
      <c r="C286" s="36"/>
      <c r="D286" s="37" t="s">
        <v>27</v>
      </c>
      <c r="E286" s="36">
        <v>100000381214811</v>
      </c>
      <c r="F286" s="17">
        <v>45827</v>
      </c>
      <c r="G286" s="38">
        <v>45829</v>
      </c>
      <c r="H286" s="37" t="s">
        <v>300</v>
      </c>
      <c r="I286" s="43">
        <v>8654.4699999999993</v>
      </c>
      <c r="J286" s="37" t="s">
        <v>44</v>
      </c>
      <c r="K286" s="37">
        <v>785.07</v>
      </c>
      <c r="L286" s="37" t="s">
        <v>307</v>
      </c>
      <c r="M286" s="37" t="s">
        <v>186</v>
      </c>
      <c r="N286" s="27" t="s">
        <v>309</v>
      </c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</row>
    <row r="287" spans="1:226" s="100" customFormat="1" x14ac:dyDescent="0.2">
      <c r="A287" s="37" t="s">
        <v>14</v>
      </c>
      <c r="B287" s="36">
        <v>4540083266</v>
      </c>
      <c r="C287" s="36"/>
      <c r="D287" s="37" t="s">
        <v>27</v>
      </c>
      <c r="E287" s="36">
        <v>301000060912348</v>
      </c>
      <c r="F287" s="38">
        <v>45274</v>
      </c>
      <c r="G287" s="38">
        <v>45653</v>
      </c>
      <c r="H287" s="37" t="s">
        <v>16</v>
      </c>
      <c r="I287" s="43">
        <v>8474.5</v>
      </c>
      <c r="J287" s="37" t="s">
        <v>20</v>
      </c>
      <c r="K287" s="37">
        <v>756</v>
      </c>
      <c r="L287" s="37" t="s">
        <v>560</v>
      </c>
      <c r="M287" s="37" t="s">
        <v>25</v>
      </c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</row>
    <row r="288" spans="1:226" s="100" customFormat="1" x14ac:dyDescent="0.2">
      <c r="A288" s="37" t="s">
        <v>429</v>
      </c>
      <c r="B288" s="36">
        <v>51667453142</v>
      </c>
      <c r="C288" s="36">
        <v>5331345410</v>
      </c>
      <c r="D288" s="37" t="s">
        <v>97</v>
      </c>
      <c r="E288" s="36">
        <v>2758782</v>
      </c>
      <c r="F288" s="38">
        <v>45526</v>
      </c>
      <c r="G288" s="38">
        <v>45891</v>
      </c>
      <c r="H288" s="37"/>
      <c r="I288" s="43">
        <v>8407</v>
      </c>
      <c r="J288" s="37" t="s">
        <v>19</v>
      </c>
      <c r="K288" s="63">
        <v>1327.42</v>
      </c>
      <c r="L288" s="37"/>
      <c r="M288" s="37" t="s">
        <v>174</v>
      </c>
      <c r="N288" s="20" t="s">
        <v>430</v>
      </c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</row>
    <row r="289" spans="1:226" s="100" customFormat="1" x14ac:dyDescent="0.2">
      <c r="A289" s="93" t="s">
        <v>43</v>
      </c>
      <c r="B289" s="36">
        <v>62323222248</v>
      </c>
      <c r="C289" s="36"/>
      <c r="D289" s="37" t="s">
        <v>31</v>
      </c>
      <c r="E289" s="36">
        <v>100000357180894</v>
      </c>
      <c r="F289" s="38">
        <v>45748</v>
      </c>
      <c r="G289" s="38">
        <v>46113</v>
      </c>
      <c r="H289" s="37" t="s">
        <v>464</v>
      </c>
      <c r="I289" s="43">
        <v>8379</v>
      </c>
      <c r="J289" s="37" t="s">
        <v>44</v>
      </c>
      <c r="K289" s="62">
        <v>1197</v>
      </c>
      <c r="L289" s="37" t="s">
        <v>467</v>
      </c>
      <c r="M289" s="37" t="s">
        <v>186</v>
      </c>
      <c r="N289" s="28"/>
      <c r="O289" s="28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</row>
    <row r="290" spans="1:226" s="100" customFormat="1" x14ac:dyDescent="0.2">
      <c r="A290" s="37" t="s">
        <v>605</v>
      </c>
      <c r="B290" s="36">
        <v>50851756052</v>
      </c>
      <c r="C290" s="36">
        <v>5354182008</v>
      </c>
      <c r="D290" s="37" t="s">
        <v>27</v>
      </c>
      <c r="E290" s="36">
        <v>301000152964524</v>
      </c>
      <c r="F290" s="38">
        <v>45656</v>
      </c>
      <c r="G290" s="38">
        <v>46021</v>
      </c>
      <c r="H290" s="37" t="s">
        <v>600</v>
      </c>
      <c r="I290" s="43">
        <v>8374.92</v>
      </c>
      <c r="J290" s="37" t="s">
        <v>19</v>
      </c>
      <c r="K290" s="37">
        <v>765.22</v>
      </c>
      <c r="L290" s="37" t="s">
        <v>601</v>
      </c>
      <c r="M290" s="37" t="s">
        <v>25</v>
      </c>
      <c r="N290" s="20" t="s">
        <v>599</v>
      </c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</row>
    <row r="291" spans="1:226" s="100" customFormat="1" x14ac:dyDescent="0.2">
      <c r="A291" s="37" t="s">
        <v>605</v>
      </c>
      <c r="B291" s="36">
        <v>50851756052</v>
      </c>
      <c r="C291" s="36">
        <v>5354182008</v>
      </c>
      <c r="D291" s="37" t="s">
        <v>27</v>
      </c>
      <c r="E291" s="36">
        <v>301000152964524</v>
      </c>
      <c r="F291" s="38">
        <v>45656</v>
      </c>
      <c r="G291" s="38">
        <v>46021</v>
      </c>
      <c r="H291" s="37" t="s">
        <v>600</v>
      </c>
      <c r="I291" s="43">
        <v>8374.92</v>
      </c>
      <c r="J291" s="37" t="s">
        <v>19</v>
      </c>
      <c r="K291" s="37">
        <v>765.22</v>
      </c>
      <c r="L291" s="37" t="s">
        <v>601</v>
      </c>
      <c r="M291" s="37" t="s">
        <v>25</v>
      </c>
      <c r="N291" s="20" t="s">
        <v>599</v>
      </c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</row>
    <row r="292" spans="1:226" s="100" customFormat="1" x14ac:dyDescent="0.2">
      <c r="A292" s="37" t="s">
        <v>851</v>
      </c>
      <c r="B292" s="37">
        <v>24344359464</v>
      </c>
      <c r="C292" s="37">
        <v>5063272509</v>
      </c>
      <c r="D292" s="37" t="s">
        <v>27</v>
      </c>
      <c r="E292" s="36">
        <v>299891019290</v>
      </c>
      <c r="F292" s="38">
        <v>45812</v>
      </c>
      <c r="G292" s="38">
        <v>45815</v>
      </c>
      <c r="H292" s="37" t="s">
        <v>852</v>
      </c>
      <c r="I292" s="43">
        <v>8368.44</v>
      </c>
      <c r="J292" s="37" t="s">
        <v>44</v>
      </c>
      <c r="K292" s="37">
        <v>448.31</v>
      </c>
      <c r="L292" s="37" t="s">
        <v>853</v>
      </c>
      <c r="M292" s="37" t="s">
        <v>185</v>
      </c>
      <c r="N292" s="50">
        <v>30603</v>
      </c>
      <c r="O292" s="28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</row>
    <row r="293" spans="1:226" s="100" customFormat="1" x14ac:dyDescent="0.2">
      <c r="A293" s="37" t="s">
        <v>407</v>
      </c>
      <c r="B293" s="36">
        <v>36470090920</v>
      </c>
      <c r="C293" s="36"/>
      <c r="D293" s="37" t="s">
        <v>27</v>
      </c>
      <c r="E293" s="36">
        <v>301000109367933</v>
      </c>
      <c r="F293" s="38">
        <v>45502</v>
      </c>
      <c r="G293" s="38">
        <v>45867</v>
      </c>
      <c r="H293" s="37" t="s">
        <v>425</v>
      </c>
      <c r="I293" s="43">
        <v>8354.02</v>
      </c>
      <c r="J293" s="37" t="s">
        <v>44</v>
      </c>
      <c r="K293" s="37">
        <v>750.87</v>
      </c>
      <c r="L293" s="37"/>
      <c r="M293" s="37" t="s">
        <v>25</v>
      </c>
      <c r="N293" s="20" t="s">
        <v>408</v>
      </c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</row>
    <row r="294" spans="1:226" s="100" customFormat="1" x14ac:dyDescent="0.2">
      <c r="A294" s="37" t="s">
        <v>255</v>
      </c>
      <c r="B294" s="37">
        <v>21043245494</v>
      </c>
      <c r="C294" s="36"/>
      <c r="D294" s="37" t="s">
        <v>27</v>
      </c>
      <c r="E294" s="36">
        <v>301000093297040</v>
      </c>
      <c r="F294" s="38">
        <v>45435</v>
      </c>
      <c r="G294" s="38">
        <v>45800</v>
      </c>
      <c r="H294" s="37" t="s">
        <v>287</v>
      </c>
      <c r="I294" s="43">
        <v>8222.2099999999991</v>
      </c>
      <c r="J294" s="37" t="s">
        <v>19</v>
      </c>
      <c r="K294" s="37">
        <v>738.92</v>
      </c>
      <c r="L294" s="38" t="s">
        <v>602</v>
      </c>
      <c r="M294" s="37" t="s">
        <v>25</v>
      </c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</row>
    <row r="295" spans="1:226" s="21" customFormat="1" x14ac:dyDescent="0.2">
      <c r="A295" s="37" t="s">
        <v>401</v>
      </c>
      <c r="B295" s="36">
        <v>99613829580</v>
      </c>
      <c r="C295" s="36"/>
      <c r="D295" s="37" t="s">
        <v>27</v>
      </c>
      <c r="E295" s="36">
        <v>311000467272612</v>
      </c>
      <c r="F295" s="38">
        <v>45869</v>
      </c>
      <c r="G295" s="38">
        <v>45869</v>
      </c>
      <c r="H295" s="37" t="s">
        <v>402</v>
      </c>
      <c r="I295" s="43">
        <v>8213.14</v>
      </c>
      <c r="J295" s="37" t="s">
        <v>20</v>
      </c>
      <c r="K295" s="37"/>
      <c r="L295" s="37" t="s">
        <v>403</v>
      </c>
      <c r="M295" s="37" t="s">
        <v>251</v>
      </c>
      <c r="N295" s="28" t="s">
        <v>898</v>
      </c>
      <c r="O295" s="28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</row>
    <row r="296" spans="1:226" s="28" customFormat="1" x14ac:dyDescent="0.2">
      <c r="A296" s="93" t="s">
        <v>199</v>
      </c>
      <c r="B296" s="36">
        <v>29872545068</v>
      </c>
      <c r="C296" s="36"/>
      <c r="D296" s="37" t="s">
        <v>27</v>
      </c>
      <c r="E296" s="36">
        <v>100000354690126</v>
      </c>
      <c r="F296" s="38">
        <v>45748</v>
      </c>
      <c r="G296" s="38">
        <v>45749</v>
      </c>
      <c r="H296" s="37" t="s">
        <v>200</v>
      </c>
      <c r="I296" s="43">
        <v>8168.04</v>
      </c>
      <c r="J296" s="37" t="s">
        <v>19</v>
      </c>
      <c r="K296" s="37">
        <v>740.41</v>
      </c>
      <c r="L296" s="37" t="s">
        <v>201</v>
      </c>
      <c r="M296" s="37" t="s">
        <v>186</v>
      </c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</row>
    <row r="297" spans="1:226" s="28" customFormat="1" x14ac:dyDescent="0.2">
      <c r="A297" s="37" t="s">
        <v>406</v>
      </c>
      <c r="B297" s="36">
        <v>56971561088</v>
      </c>
      <c r="C297" s="36"/>
      <c r="D297" s="37" t="s">
        <v>104</v>
      </c>
      <c r="E297" s="37">
        <v>860803320</v>
      </c>
      <c r="F297" s="38">
        <v>45862</v>
      </c>
      <c r="G297" s="38">
        <v>45865</v>
      </c>
      <c r="H297" s="37"/>
      <c r="I297" s="43">
        <v>8106.85</v>
      </c>
      <c r="J297" s="37" t="s">
        <v>44</v>
      </c>
      <c r="K297" s="37">
        <v>1924.92</v>
      </c>
      <c r="L297" s="37"/>
      <c r="M297" s="37" t="s">
        <v>752</v>
      </c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</row>
    <row r="298" spans="1:226" s="21" customFormat="1" x14ac:dyDescent="0.2">
      <c r="A298" s="22" t="s">
        <v>528</v>
      </c>
      <c r="B298" s="23">
        <v>12215530302</v>
      </c>
      <c r="C298" s="23"/>
      <c r="D298" s="22" t="s">
        <v>31</v>
      </c>
      <c r="E298" s="23">
        <v>29145938</v>
      </c>
      <c r="F298" s="24">
        <v>45608</v>
      </c>
      <c r="G298" s="24">
        <v>45985</v>
      </c>
      <c r="H298" s="22" t="s">
        <v>530</v>
      </c>
      <c r="I298" s="52">
        <v>8059.64</v>
      </c>
      <c r="J298" s="22" t="s">
        <v>44</v>
      </c>
      <c r="K298" s="22">
        <v>690.82</v>
      </c>
      <c r="L298" s="22" t="s">
        <v>529</v>
      </c>
      <c r="M298" s="22" t="s">
        <v>533</v>
      </c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</row>
    <row r="299" spans="1:226" x14ac:dyDescent="0.2">
      <c r="A299" s="37" t="s">
        <v>511</v>
      </c>
      <c r="B299" s="36">
        <v>21188076632</v>
      </c>
      <c r="C299" s="36"/>
      <c r="D299" s="37" t="s">
        <v>31</v>
      </c>
      <c r="E299" s="36">
        <v>351000098727066</v>
      </c>
      <c r="F299" s="38">
        <v>45988</v>
      </c>
      <c r="G299" s="38">
        <v>46002</v>
      </c>
      <c r="H299" s="37" t="s">
        <v>512</v>
      </c>
      <c r="I299" s="43">
        <v>8036</v>
      </c>
      <c r="J299" s="37" t="s">
        <v>44</v>
      </c>
      <c r="K299" s="37">
        <v>1148.08</v>
      </c>
      <c r="L299" s="37" t="s">
        <v>513</v>
      </c>
      <c r="M299" s="37" t="s">
        <v>25</v>
      </c>
      <c r="N299" s="27">
        <v>24056</v>
      </c>
    </row>
    <row r="300" spans="1:226" x14ac:dyDescent="0.2">
      <c r="A300" s="37" t="s">
        <v>120</v>
      </c>
      <c r="B300" s="36">
        <v>43720717988</v>
      </c>
      <c r="C300" s="36"/>
      <c r="D300" s="37" t="s">
        <v>27</v>
      </c>
      <c r="E300" s="36">
        <v>100000264059402</v>
      </c>
      <c r="F300" s="38">
        <v>45495</v>
      </c>
      <c r="G300" s="38">
        <v>45860</v>
      </c>
      <c r="H300" s="37" t="s">
        <v>374</v>
      </c>
      <c r="I300" s="43">
        <v>7968.64</v>
      </c>
      <c r="J300" s="37" t="s">
        <v>19</v>
      </c>
      <c r="K300" s="37">
        <v>725.92</v>
      </c>
      <c r="L300" s="37" t="s">
        <v>375</v>
      </c>
      <c r="M300" s="37" t="s">
        <v>186</v>
      </c>
      <c r="N300" s="27" t="s">
        <v>388</v>
      </c>
    </row>
    <row r="301" spans="1:226" s="28" customFormat="1" x14ac:dyDescent="0.2">
      <c r="A301" s="37" t="s">
        <v>409</v>
      </c>
      <c r="B301" s="36">
        <v>43807715050</v>
      </c>
      <c r="C301" s="36"/>
      <c r="D301" s="37" t="s">
        <v>27</v>
      </c>
      <c r="E301" s="36">
        <v>100000266519523</v>
      </c>
      <c r="F301" s="38">
        <v>45502</v>
      </c>
      <c r="G301" s="38">
        <v>45870</v>
      </c>
      <c r="H301" s="37" t="s">
        <v>410</v>
      </c>
      <c r="I301" s="43">
        <v>7968.64</v>
      </c>
      <c r="J301" s="37" t="s">
        <v>19</v>
      </c>
      <c r="K301" s="37">
        <v>725.92</v>
      </c>
      <c r="L301" s="37" t="s">
        <v>411</v>
      </c>
      <c r="M301" s="37" t="s">
        <v>186</v>
      </c>
      <c r="N301" s="27" t="s">
        <v>416</v>
      </c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0"/>
      <c r="DU301" s="20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  <c r="EP301" s="20"/>
      <c r="EQ301" s="20"/>
      <c r="ER301" s="20"/>
      <c r="ES301" s="20"/>
      <c r="ET301" s="20"/>
      <c r="EU301" s="20"/>
      <c r="EV301" s="20"/>
      <c r="EW301" s="20"/>
      <c r="EX301" s="20"/>
      <c r="EY301" s="20"/>
      <c r="EZ301" s="20"/>
      <c r="FA301" s="20"/>
      <c r="FB301" s="20"/>
      <c r="FC301" s="20"/>
      <c r="FD301" s="20"/>
      <c r="FE301" s="20"/>
      <c r="FF301" s="20"/>
      <c r="FG301" s="20"/>
      <c r="FH301" s="20"/>
      <c r="FI301" s="20"/>
      <c r="FJ301" s="20"/>
      <c r="FK301" s="20"/>
      <c r="FL301" s="20"/>
      <c r="FM301" s="20"/>
      <c r="FN301" s="20"/>
      <c r="FO301" s="20"/>
      <c r="FP301" s="20"/>
      <c r="FQ301" s="20"/>
      <c r="FR301" s="20"/>
      <c r="FS301" s="20"/>
      <c r="FT301" s="20"/>
      <c r="FU301" s="20"/>
      <c r="FV301" s="20"/>
      <c r="FW301" s="20"/>
      <c r="FX301" s="20"/>
      <c r="FY301" s="20"/>
      <c r="FZ301" s="20"/>
      <c r="GA301" s="20"/>
      <c r="GB301" s="20"/>
      <c r="GC301" s="20"/>
      <c r="GD301" s="20"/>
      <c r="GE301" s="20"/>
      <c r="GF301" s="20"/>
      <c r="GG301" s="20"/>
      <c r="GH301" s="20"/>
      <c r="GI301" s="20"/>
      <c r="GJ301" s="20"/>
      <c r="GK301" s="20"/>
      <c r="GL301" s="20"/>
      <c r="GM301" s="20"/>
      <c r="GN301" s="20"/>
      <c r="GO301" s="20"/>
      <c r="GP301" s="20"/>
      <c r="GQ301" s="20"/>
      <c r="GR301" s="20"/>
      <c r="GS301" s="20"/>
      <c r="GT301" s="20"/>
      <c r="GU301" s="20"/>
      <c r="GV301" s="20"/>
      <c r="GW301" s="20"/>
      <c r="GX301" s="20"/>
      <c r="GY301" s="20"/>
      <c r="GZ301" s="20"/>
      <c r="HA301" s="20"/>
      <c r="HB301" s="20"/>
      <c r="HC301" s="20"/>
      <c r="HD301" s="20"/>
      <c r="HE301" s="20"/>
      <c r="HF301" s="20"/>
      <c r="HG301" s="20"/>
      <c r="HH301" s="20"/>
      <c r="HI301" s="20"/>
      <c r="HJ301" s="20"/>
      <c r="HK301" s="20"/>
      <c r="HL301" s="20"/>
      <c r="HM301" s="20"/>
      <c r="HN301" s="20"/>
      <c r="HO301" s="20"/>
      <c r="HP301" s="20"/>
      <c r="HQ301" s="20"/>
      <c r="HR301" s="20"/>
    </row>
    <row r="302" spans="1:226" s="28" customFormat="1" x14ac:dyDescent="0.2">
      <c r="A302" s="37" t="s">
        <v>417</v>
      </c>
      <c r="B302" s="36">
        <v>19703341952</v>
      </c>
      <c r="C302" s="36"/>
      <c r="D302" s="37" t="s">
        <v>27</v>
      </c>
      <c r="E302" s="36">
        <v>100000268283286</v>
      </c>
      <c r="F302" s="38">
        <v>45506</v>
      </c>
      <c r="G302" s="38">
        <v>45873</v>
      </c>
      <c r="H302" s="37" t="s">
        <v>418</v>
      </c>
      <c r="I302" s="43">
        <v>7968.64</v>
      </c>
      <c r="J302" s="37" t="s">
        <v>44</v>
      </c>
      <c r="K302" s="37">
        <v>725.92</v>
      </c>
      <c r="L302" s="37" t="s">
        <v>419</v>
      </c>
      <c r="M302" s="37" t="s">
        <v>186</v>
      </c>
      <c r="N302" s="27">
        <v>27414</v>
      </c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  <c r="DH302" s="20"/>
      <c r="DI302" s="20"/>
      <c r="DJ302" s="20"/>
      <c r="DK302" s="20"/>
      <c r="DL302" s="20"/>
      <c r="DM302" s="20"/>
      <c r="DN302" s="20"/>
      <c r="DO302" s="20"/>
      <c r="DP302" s="20"/>
      <c r="DQ302" s="20"/>
      <c r="DR302" s="20"/>
      <c r="DS302" s="20"/>
      <c r="DT302" s="20"/>
      <c r="DU302" s="20"/>
      <c r="DV302" s="20"/>
      <c r="DW302" s="20"/>
      <c r="DX302" s="20"/>
      <c r="DY302" s="20"/>
      <c r="DZ302" s="20"/>
      <c r="EA302" s="20"/>
      <c r="EB302" s="20"/>
      <c r="EC302" s="20"/>
      <c r="ED302" s="20"/>
      <c r="EE302" s="20"/>
      <c r="EF302" s="20"/>
      <c r="EG302" s="20"/>
      <c r="EH302" s="20"/>
      <c r="EI302" s="20"/>
      <c r="EJ302" s="20"/>
      <c r="EK302" s="20"/>
      <c r="EL302" s="20"/>
      <c r="EM302" s="20"/>
      <c r="EN302" s="20"/>
      <c r="EO302" s="20"/>
      <c r="EP302" s="20"/>
      <c r="EQ302" s="20"/>
      <c r="ER302" s="20"/>
      <c r="ES302" s="20"/>
      <c r="ET302" s="20"/>
      <c r="EU302" s="20"/>
      <c r="EV302" s="20"/>
      <c r="EW302" s="20"/>
      <c r="EX302" s="20"/>
      <c r="EY302" s="20"/>
      <c r="EZ302" s="20"/>
      <c r="FA302" s="20"/>
      <c r="FB302" s="20"/>
      <c r="FC302" s="20"/>
      <c r="FD302" s="20"/>
      <c r="FE302" s="20"/>
      <c r="FF302" s="20"/>
      <c r="FG302" s="20"/>
      <c r="FH302" s="20"/>
      <c r="FI302" s="20"/>
      <c r="FJ302" s="20"/>
      <c r="FK302" s="20"/>
      <c r="FL302" s="20"/>
      <c r="FM302" s="20"/>
      <c r="FN302" s="20"/>
      <c r="FO302" s="20"/>
      <c r="FP302" s="20"/>
      <c r="FQ302" s="20"/>
      <c r="FR302" s="20"/>
      <c r="FS302" s="20"/>
      <c r="FT302" s="20"/>
      <c r="FU302" s="20"/>
      <c r="FV302" s="20"/>
      <c r="FW302" s="20"/>
      <c r="FX302" s="20"/>
      <c r="FY302" s="20"/>
      <c r="FZ302" s="20"/>
      <c r="GA302" s="20"/>
      <c r="GB302" s="20"/>
      <c r="GC302" s="20"/>
      <c r="GD302" s="20"/>
      <c r="GE302" s="20"/>
      <c r="GF302" s="20"/>
      <c r="GG302" s="20"/>
      <c r="GH302" s="20"/>
      <c r="GI302" s="20"/>
      <c r="GJ302" s="20"/>
      <c r="GK302" s="20"/>
      <c r="GL302" s="20"/>
      <c r="GM302" s="20"/>
      <c r="GN302" s="20"/>
      <c r="GO302" s="20"/>
      <c r="GP302" s="20"/>
      <c r="GQ302" s="20"/>
      <c r="GR302" s="20"/>
      <c r="GS302" s="20"/>
      <c r="GT302" s="20"/>
      <c r="GU302" s="20"/>
      <c r="GV302" s="20"/>
      <c r="GW302" s="20"/>
      <c r="GX302" s="20"/>
      <c r="GY302" s="20"/>
      <c r="GZ302" s="20"/>
      <c r="HA302" s="20"/>
      <c r="HB302" s="20"/>
      <c r="HC302" s="20"/>
      <c r="HD302" s="20"/>
      <c r="HE302" s="20"/>
      <c r="HF302" s="20"/>
      <c r="HG302" s="20"/>
      <c r="HH302" s="20"/>
      <c r="HI302" s="20"/>
      <c r="HJ302" s="20"/>
      <c r="HK302" s="20"/>
      <c r="HL302" s="20"/>
      <c r="HM302" s="20"/>
      <c r="HN302" s="20"/>
      <c r="HO302" s="20"/>
      <c r="HP302" s="20"/>
      <c r="HQ302" s="20"/>
      <c r="HR302" s="20"/>
    </row>
    <row r="303" spans="1:226" s="28" customFormat="1" x14ac:dyDescent="0.2">
      <c r="A303" s="22" t="s">
        <v>799</v>
      </c>
      <c r="B303" s="23">
        <v>51058081626</v>
      </c>
      <c r="C303" s="23"/>
      <c r="D303" s="22" t="s">
        <v>27</v>
      </c>
      <c r="E303" s="23">
        <v>417294403</v>
      </c>
      <c r="F303" s="24">
        <v>45836</v>
      </c>
      <c r="G303" s="24">
        <v>45836</v>
      </c>
      <c r="H303" s="22" t="s">
        <v>874</v>
      </c>
      <c r="I303" s="52">
        <v>7951.48</v>
      </c>
      <c r="J303" s="22" t="s">
        <v>44</v>
      </c>
      <c r="K303" s="22">
        <v>431.35</v>
      </c>
      <c r="L303" s="22" t="s">
        <v>873</v>
      </c>
      <c r="M303" s="22" t="s">
        <v>81</v>
      </c>
      <c r="N303" s="81">
        <v>27169</v>
      </c>
      <c r="O303" s="21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  <c r="DF303" s="20"/>
      <c r="DG303" s="20"/>
      <c r="DH303" s="20"/>
      <c r="DI303" s="20"/>
      <c r="DJ303" s="20"/>
      <c r="DK303" s="20"/>
      <c r="DL303" s="20"/>
      <c r="DM303" s="20"/>
      <c r="DN303" s="20"/>
      <c r="DO303" s="20"/>
      <c r="DP303" s="20"/>
      <c r="DQ303" s="20"/>
      <c r="DR303" s="20"/>
      <c r="DS303" s="20"/>
      <c r="DT303" s="20"/>
      <c r="DU303" s="20"/>
      <c r="DV303" s="20"/>
      <c r="DW303" s="20"/>
      <c r="DX303" s="20"/>
      <c r="DY303" s="20"/>
      <c r="DZ303" s="20"/>
      <c r="EA303" s="20"/>
      <c r="EB303" s="20"/>
      <c r="EC303" s="20"/>
      <c r="ED303" s="20"/>
      <c r="EE303" s="20"/>
      <c r="EF303" s="20"/>
      <c r="EG303" s="20"/>
      <c r="EH303" s="20"/>
      <c r="EI303" s="20"/>
      <c r="EJ303" s="20"/>
      <c r="EK303" s="20"/>
      <c r="EL303" s="20"/>
      <c r="EM303" s="20"/>
      <c r="EN303" s="20"/>
      <c r="EO303" s="20"/>
      <c r="EP303" s="20"/>
      <c r="EQ303" s="20"/>
      <c r="ER303" s="20"/>
      <c r="ES303" s="20"/>
      <c r="ET303" s="20"/>
      <c r="EU303" s="20"/>
      <c r="EV303" s="20"/>
      <c r="EW303" s="20"/>
      <c r="EX303" s="20"/>
      <c r="EY303" s="20"/>
      <c r="EZ303" s="20"/>
      <c r="FA303" s="20"/>
      <c r="FB303" s="20"/>
      <c r="FC303" s="20"/>
      <c r="FD303" s="20"/>
      <c r="FE303" s="20"/>
      <c r="FF303" s="20"/>
      <c r="FG303" s="20"/>
      <c r="FH303" s="20"/>
      <c r="FI303" s="20"/>
      <c r="FJ303" s="20"/>
      <c r="FK303" s="20"/>
      <c r="FL303" s="20"/>
      <c r="FM303" s="20"/>
      <c r="FN303" s="20"/>
      <c r="FO303" s="20"/>
      <c r="FP303" s="20"/>
      <c r="FQ303" s="20"/>
      <c r="FR303" s="20"/>
      <c r="FS303" s="20"/>
      <c r="FT303" s="20"/>
      <c r="FU303" s="20"/>
      <c r="FV303" s="20"/>
      <c r="FW303" s="20"/>
      <c r="FX303" s="20"/>
      <c r="FY303" s="20"/>
      <c r="FZ303" s="20"/>
      <c r="GA303" s="20"/>
      <c r="GB303" s="20"/>
      <c r="GC303" s="20"/>
      <c r="GD303" s="20"/>
      <c r="GE303" s="20"/>
      <c r="GF303" s="20"/>
      <c r="GG303" s="20"/>
      <c r="GH303" s="20"/>
      <c r="GI303" s="20"/>
      <c r="GJ303" s="20"/>
      <c r="GK303" s="20"/>
      <c r="GL303" s="20"/>
      <c r="GM303" s="20"/>
      <c r="GN303" s="20"/>
      <c r="GO303" s="20"/>
      <c r="GP303" s="20"/>
      <c r="GQ303" s="20"/>
      <c r="GR303" s="20"/>
      <c r="GS303" s="20"/>
      <c r="GT303" s="20"/>
      <c r="GU303" s="20"/>
      <c r="GV303" s="20"/>
      <c r="GW303" s="20"/>
      <c r="GX303" s="20"/>
      <c r="GY303" s="20"/>
      <c r="GZ303" s="20"/>
      <c r="HA303" s="20"/>
      <c r="HB303" s="20"/>
      <c r="HC303" s="20"/>
      <c r="HD303" s="20"/>
      <c r="HE303" s="20"/>
      <c r="HF303" s="20"/>
      <c r="HG303" s="20"/>
      <c r="HH303" s="20"/>
      <c r="HI303" s="20"/>
      <c r="HJ303" s="20"/>
      <c r="HK303" s="20"/>
      <c r="HL303" s="20"/>
      <c r="HM303" s="20"/>
      <c r="HN303" s="20"/>
      <c r="HO303" s="20"/>
      <c r="HP303" s="20"/>
      <c r="HQ303" s="20"/>
      <c r="HR303" s="20"/>
    </row>
    <row r="304" spans="1:226" s="28" customFormat="1" x14ac:dyDescent="0.2">
      <c r="A304" s="37" t="s">
        <v>235</v>
      </c>
      <c r="B304" s="36">
        <v>7680022666</v>
      </c>
      <c r="C304" s="36"/>
      <c r="D304" s="37" t="s">
        <v>42</v>
      </c>
      <c r="E304" s="36">
        <v>301000089169502</v>
      </c>
      <c r="F304" s="38">
        <v>45419</v>
      </c>
      <c r="G304" s="38">
        <v>45784</v>
      </c>
      <c r="H304" s="37" t="s">
        <v>236</v>
      </c>
      <c r="I304" s="43">
        <v>7807.73</v>
      </c>
      <c r="J304" s="37" t="s">
        <v>237</v>
      </c>
      <c r="K304" s="37">
        <v>701.1</v>
      </c>
      <c r="L304" s="37"/>
      <c r="M304" s="37" t="s">
        <v>25</v>
      </c>
      <c r="N304" s="20" t="s">
        <v>241</v>
      </c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  <c r="DK304" s="20"/>
      <c r="DL304" s="20"/>
      <c r="DM304" s="20"/>
      <c r="DN304" s="20"/>
      <c r="DO304" s="20"/>
      <c r="DP304" s="20"/>
      <c r="DQ304" s="20"/>
      <c r="DR304" s="20"/>
      <c r="DS304" s="20"/>
      <c r="DT304" s="20"/>
      <c r="DU304" s="20"/>
      <c r="DV304" s="20"/>
      <c r="DW304" s="20"/>
      <c r="DX304" s="20"/>
      <c r="DY304" s="20"/>
      <c r="DZ304" s="20"/>
      <c r="EA304" s="20"/>
      <c r="EB304" s="20"/>
      <c r="EC304" s="20"/>
      <c r="ED304" s="20"/>
      <c r="EE304" s="20"/>
      <c r="EF304" s="20"/>
      <c r="EG304" s="20"/>
      <c r="EH304" s="20"/>
      <c r="EI304" s="20"/>
      <c r="EJ304" s="20"/>
      <c r="EK304" s="20"/>
      <c r="EL304" s="20"/>
      <c r="EM304" s="20"/>
      <c r="EN304" s="20"/>
      <c r="EO304" s="20"/>
      <c r="EP304" s="20"/>
      <c r="EQ304" s="20"/>
      <c r="ER304" s="20"/>
      <c r="ES304" s="20"/>
      <c r="ET304" s="20"/>
      <c r="EU304" s="20"/>
      <c r="EV304" s="20"/>
      <c r="EW304" s="20"/>
      <c r="EX304" s="20"/>
      <c r="EY304" s="20"/>
      <c r="EZ304" s="20"/>
      <c r="FA304" s="20"/>
      <c r="FB304" s="20"/>
      <c r="FC304" s="20"/>
      <c r="FD304" s="20"/>
      <c r="FE304" s="20"/>
      <c r="FF304" s="20"/>
      <c r="FG304" s="20"/>
      <c r="FH304" s="20"/>
      <c r="FI304" s="20"/>
      <c r="FJ304" s="20"/>
      <c r="FK304" s="20"/>
      <c r="FL304" s="20"/>
      <c r="FM304" s="20"/>
      <c r="FN304" s="20"/>
      <c r="FO304" s="20"/>
      <c r="FP304" s="20"/>
      <c r="FQ304" s="20"/>
      <c r="FR304" s="20"/>
      <c r="FS304" s="20"/>
      <c r="FT304" s="20"/>
      <c r="FU304" s="20"/>
      <c r="FV304" s="20"/>
      <c r="FW304" s="20"/>
      <c r="FX304" s="20"/>
      <c r="FY304" s="20"/>
      <c r="FZ304" s="20"/>
      <c r="GA304" s="20"/>
      <c r="GB304" s="20"/>
      <c r="GC304" s="20"/>
      <c r="GD304" s="20"/>
      <c r="GE304" s="20"/>
      <c r="GF304" s="20"/>
      <c r="GG304" s="20"/>
      <c r="GH304" s="20"/>
      <c r="GI304" s="20"/>
      <c r="GJ304" s="20"/>
      <c r="GK304" s="20"/>
      <c r="GL304" s="20"/>
      <c r="GM304" s="20"/>
      <c r="GN304" s="20"/>
      <c r="GO304" s="20"/>
      <c r="GP304" s="20"/>
      <c r="GQ304" s="20"/>
      <c r="GR304" s="20"/>
      <c r="GS304" s="20"/>
      <c r="GT304" s="20"/>
      <c r="GU304" s="20"/>
      <c r="GV304" s="20"/>
      <c r="GW304" s="20"/>
      <c r="GX304" s="20"/>
      <c r="GY304" s="20"/>
      <c r="GZ304" s="20"/>
      <c r="HA304" s="20"/>
      <c r="HB304" s="20"/>
      <c r="HC304" s="20"/>
      <c r="HD304" s="20"/>
      <c r="HE304" s="20"/>
      <c r="HF304" s="20"/>
      <c r="HG304" s="20"/>
      <c r="HH304" s="20"/>
      <c r="HI304" s="20"/>
      <c r="HJ304" s="20"/>
      <c r="HK304" s="20"/>
      <c r="HL304" s="20"/>
      <c r="HM304" s="20"/>
      <c r="HN304" s="20"/>
      <c r="HO304" s="20"/>
      <c r="HP304" s="20"/>
      <c r="HQ304" s="20"/>
      <c r="HR304" s="20"/>
    </row>
    <row r="305" spans="1:226" x14ac:dyDescent="0.2">
      <c r="A305" s="37" t="s">
        <v>160</v>
      </c>
      <c r="B305" s="36">
        <v>46834465134</v>
      </c>
      <c r="C305" s="36">
        <v>5363823683</v>
      </c>
      <c r="D305" s="36" t="s">
        <v>27</v>
      </c>
      <c r="E305" s="36">
        <v>311000480604637</v>
      </c>
      <c r="F305" s="38">
        <v>45539</v>
      </c>
      <c r="G305" s="38">
        <v>45905</v>
      </c>
      <c r="H305" s="37" t="s">
        <v>439</v>
      </c>
      <c r="I305" s="43">
        <v>7806.41</v>
      </c>
      <c r="J305" s="37" t="s">
        <v>44</v>
      </c>
      <c r="K305" s="37">
        <v>697</v>
      </c>
      <c r="L305" s="37" t="s">
        <v>440</v>
      </c>
      <c r="M305" s="37" t="s">
        <v>251</v>
      </c>
      <c r="N305" s="28"/>
      <c r="O305" s="28"/>
    </row>
    <row r="306" spans="1:226" x14ac:dyDescent="0.2">
      <c r="A306" s="37" t="s">
        <v>424</v>
      </c>
      <c r="B306" s="36">
        <v>13664716026</v>
      </c>
      <c r="C306" s="36" t="s">
        <v>423</v>
      </c>
      <c r="D306" s="37" t="s">
        <v>97</v>
      </c>
      <c r="E306" s="36">
        <v>2751698</v>
      </c>
      <c r="F306" s="38">
        <v>45511</v>
      </c>
      <c r="G306" s="38">
        <v>45876</v>
      </c>
      <c r="H306" s="37"/>
      <c r="I306" s="43">
        <v>7786</v>
      </c>
      <c r="J306" s="37"/>
      <c r="K306" s="63">
        <v>1179.9000000000001</v>
      </c>
      <c r="L306" s="37"/>
      <c r="M306" s="37" t="s">
        <v>174</v>
      </c>
      <c r="N306" s="20" t="s">
        <v>422</v>
      </c>
    </row>
    <row r="307" spans="1:226" s="100" customFormat="1" x14ac:dyDescent="0.2">
      <c r="A307" s="22" t="s">
        <v>78</v>
      </c>
      <c r="B307" s="23">
        <v>31598117634</v>
      </c>
      <c r="C307" s="23"/>
      <c r="D307" s="22" t="s">
        <v>27</v>
      </c>
      <c r="E307" s="23">
        <v>264859850</v>
      </c>
      <c r="F307" s="24">
        <v>45306</v>
      </c>
      <c r="G307" s="24"/>
      <c r="H307" s="22" t="s">
        <v>79</v>
      </c>
      <c r="I307" s="52">
        <v>7745.21</v>
      </c>
      <c r="J307" s="22" t="s">
        <v>19</v>
      </c>
      <c r="K307" s="22">
        <v>413</v>
      </c>
      <c r="L307" s="22" t="s">
        <v>80</v>
      </c>
      <c r="M307" s="22" t="s">
        <v>81</v>
      </c>
      <c r="N307" s="20" t="s">
        <v>88</v>
      </c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</row>
    <row r="308" spans="1:226" s="100" customFormat="1" x14ac:dyDescent="0.2">
      <c r="A308" s="22" t="s">
        <v>832</v>
      </c>
      <c r="B308" s="23">
        <v>23237530904</v>
      </c>
      <c r="C308" s="23"/>
      <c r="D308" s="23" t="s">
        <v>27</v>
      </c>
      <c r="E308" s="23">
        <v>409359655</v>
      </c>
      <c r="F308" s="24">
        <v>45808</v>
      </c>
      <c r="G308" s="24">
        <v>45808</v>
      </c>
      <c r="H308" s="22" t="s">
        <v>833</v>
      </c>
      <c r="I308" s="52">
        <v>7742.53</v>
      </c>
      <c r="J308" s="23" t="s">
        <v>44</v>
      </c>
      <c r="K308" s="22"/>
      <c r="L308" s="24" t="s">
        <v>834</v>
      </c>
      <c r="M308" s="23" t="s">
        <v>81</v>
      </c>
      <c r="N308" s="81" t="s">
        <v>835</v>
      </c>
      <c r="O308" s="21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</row>
    <row r="309" spans="1:226" s="28" customFormat="1" x14ac:dyDescent="0.2">
      <c r="A309" s="37" t="s">
        <v>992</v>
      </c>
      <c r="B309" s="36">
        <v>47896701260</v>
      </c>
      <c r="C309" s="36"/>
      <c r="D309" s="37" t="s">
        <v>27</v>
      </c>
      <c r="E309" s="36">
        <v>100000467406471</v>
      </c>
      <c r="F309" s="38">
        <v>45977</v>
      </c>
      <c r="G309" s="38">
        <v>45984</v>
      </c>
      <c r="H309" s="37" t="s">
        <v>994</v>
      </c>
      <c r="I309" s="43">
        <v>7723.49</v>
      </c>
      <c r="J309" s="37" t="s">
        <v>44</v>
      </c>
      <c r="K309" s="37">
        <v>694.12</v>
      </c>
      <c r="L309" s="37" t="s">
        <v>993</v>
      </c>
      <c r="M309" s="37" t="s">
        <v>186</v>
      </c>
      <c r="N309" s="50" t="s">
        <v>995</v>
      </c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</row>
    <row r="310" spans="1:226" x14ac:dyDescent="0.2">
      <c r="A310" s="37" t="s">
        <v>26</v>
      </c>
      <c r="B310" s="36">
        <v>4811196831</v>
      </c>
      <c r="C310" s="36"/>
      <c r="D310" s="37" t="s">
        <v>477</v>
      </c>
      <c r="E310" s="36">
        <v>122107621</v>
      </c>
      <c r="F310" s="38">
        <v>45926</v>
      </c>
      <c r="G310" s="38">
        <v>45911</v>
      </c>
      <c r="H310" s="37"/>
      <c r="I310" s="43">
        <v>7710</v>
      </c>
      <c r="J310" s="37" t="s">
        <v>20</v>
      </c>
      <c r="K310" s="37">
        <v>734.29</v>
      </c>
      <c r="L310" s="37"/>
      <c r="M310" s="37" t="s">
        <v>190</v>
      </c>
      <c r="N310" s="28"/>
      <c r="O310" s="28"/>
    </row>
    <row r="311" spans="1:226" s="28" customFormat="1" x14ac:dyDescent="0.2">
      <c r="A311" s="37" t="s">
        <v>259</v>
      </c>
      <c r="B311" s="36">
        <v>21082244182</v>
      </c>
      <c r="C311" s="36"/>
      <c r="D311" s="37" t="s">
        <v>104</v>
      </c>
      <c r="E311" s="36">
        <v>839305963</v>
      </c>
      <c r="F311" s="38">
        <v>45434</v>
      </c>
      <c r="G311" s="38">
        <v>45799</v>
      </c>
      <c r="H311" s="37"/>
      <c r="I311" s="43">
        <v>7658.59</v>
      </c>
      <c r="J311" s="37" t="s">
        <v>19</v>
      </c>
      <c r="K311" s="37">
        <v>1810</v>
      </c>
      <c r="L311" s="38">
        <v>21944</v>
      </c>
      <c r="M311" s="37" t="s">
        <v>751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</row>
    <row r="312" spans="1:226" s="28" customFormat="1" x14ac:dyDescent="0.2">
      <c r="A312" s="29" t="s">
        <v>278</v>
      </c>
      <c r="B312" s="30">
        <v>24347359300</v>
      </c>
      <c r="C312" s="31"/>
      <c r="D312" s="29" t="s">
        <v>104</v>
      </c>
      <c r="E312" s="30">
        <v>1286741824</v>
      </c>
      <c r="F312" s="32">
        <v>45826</v>
      </c>
      <c r="G312" s="32">
        <v>45838</v>
      </c>
      <c r="H312" s="22"/>
      <c r="I312" s="33">
        <v>7591</v>
      </c>
      <c r="J312" s="29" t="s">
        <v>44</v>
      </c>
      <c r="K312" s="29">
        <v>1509.38</v>
      </c>
      <c r="L312" s="24"/>
      <c r="M312" s="23" t="s">
        <v>140</v>
      </c>
      <c r="N312" s="20"/>
      <c r="O312" s="34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  <c r="DH312" s="20"/>
      <c r="DI312" s="20"/>
      <c r="DJ312" s="20"/>
      <c r="DK312" s="20"/>
      <c r="DL312" s="20"/>
      <c r="DM312" s="20"/>
      <c r="DN312" s="20"/>
      <c r="DO312" s="20"/>
      <c r="DP312" s="20"/>
      <c r="DQ312" s="20"/>
      <c r="DR312" s="20"/>
      <c r="DS312" s="20"/>
      <c r="DT312" s="20"/>
      <c r="DU312" s="20"/>
      <c r="DV312" s="20"/>
      <c r="DW312" s="20"/>
      <c r="DX312" s="20"/>
      <c r="DY312" s="20"/>
      <c r="DZ312" s="20"/>
      <c r="EA312" s="20"/>
      <c r="EB312" s="20"/>
      <c r="EC312" s="20"/>
      <c r="ED312" s="20"/>
      <c r="EE312" s="20"/>
      <c r="EF312" s="20"/>
      <c r="EG312" s="20"/>
      <c r="EH312" s="20"/>
      <c r="EI312" s="20"/>
      <c r="EJ312" s="20"/>
      <c r="EK312" s="20"/>
      <c r="EL312" s="20"/>
      <c r="EM312" s="20"/>
      <c r="EN312" s="20"/>
      <c r="EO312" s="20"/>
      <c r="EP312" s="20"/>
      <c r="EQ312" s="20"/>
      <c r="ER312" s="20"/>
      <c r="ES312" s="20"/>
      <c r="ET312" s="20"/>
      <c r="EU312" s="20"/>
      <c r="EV312" s="20"/>
      <c r="EW312" s="20"/>
      <c r="EX312" s="20"/>
      <c r="EY312" s="20"/>
      <c r="EZ312" s="20"/>
      <c r="FA312" s="20"/>
      <c r="FB312" s="20"/>
      <c r="FC312" s="20"/>
      <c r="FD312" s="20"/>
      <c r="FE312" s="20"/>
      <c r="FF312" s="20"/>
      <c r="FG312" s="20"/>
      <c r="FH312" s="20"/>
      <c r="FI312" s="20"/>
      <c r="FJ312" s="20"/>
      <c r="FK312" s="20"/>
      <c r="FL312" s="20"/>
      <c r="FM312" s="20"/>
      <c r="FN312" s="20"/>
      <c r="FO312" s="20"/>
      <c r="FP312" s="20"/>
      <c r="FQ312" s="20"/>
      <c r="FR312" s="20"/>
      <c r="FS312" s="20"/>
      <c r="FT312" s="20"/>
      <c r="FU312" s="20"/>
      <c r="FV312" s="20"/>
      <c r="FW312" s="20"/>
      <c r="FX312" s="20"/>
      <c r="FY312" s="20"/>
      <c r="FZ312" s="20"/>
      <c r="GA312" s="20"/>
      <c r="GB312" s="20"/>
      <c r="GC312" s="20"/>
      <c r="GD312" s="20"/>
      <c r="GE312" s="20"/>
      <c r="GF312" s="20"/>
      <c r="GG312" s="20"/>
      <c r="GH312" s="20"/>
      <c r="GI312" s="20"/>
      <c r="GJ312" s="20"/>
      <c r="GK312" s="20"/>
      <c r="GL312" s="20"/>
      <c r="GM312" s="20"/>
      <c r="GN312" s="20"/>
      <c r="GO312" s="20"/>
      <c r="GP312" s="20"/>
      <c r="GQ312" s="20"/>
      <c r="GR312" s="20"/>
      <c r="GS312" s="20"/>
      <c r="GT312" s="20"/>
      <c r="GU312" s="20"/>
      <c r="GV312" s="20"/>
      <c r="GW312" s="20"/>
      <c r="GX312" s="20"/>
      <c r="GY312" s="20"/>
      <c r="GZ312" s="20"/>
      <c r="HA312" s="20"/>
      <c r="HB312" s="20"/>
      <c r="HC312" s="20"/>
      <c r="HD312" s="20"/>
      <c r="HE312" s="20"/>
      <c r="HF312" s="20"/>
      <c r="HG312" s="20"/>
      <c r="HH312" s="20"/>
      <c r="HI312" s="20"/>
      <c r="HJ312" s="20"/>
      <c r="HK312" s="20"/>
      <c r="HL312" s="20"/>
      <c r="HM312" s="20"/>
      <c r="HN312" s="20"/>
      <c r="HO312" s="20"/>
      <c r="HP312" s="20"/>
      <c r="HQ312" s="20"/>
      <c r="HR312" s="20"/>
    </row>
    <row r="313" spans="1:226" s="28" customFormat="1" x14ac:dyDescent="0.2">
      <c r="A313" s="22" t="s">
        <v>13</v>
      </c>
      <c r="B313" s="23">
        <v>6211022844</v>
      </c>
      <c r="C313" s="23"/>
      <c r="D313" s="22" t="s">
        <v>27</v>
      </c>
      <c r="E313" s="23" t="s">
        <v>17</v>
      </c>
      <c r="F313" s="24">
        <v>45274</v>
      </c>
      <c r="G313" s="24"/>
      <c r="H313" s="22" t="s">
        <v>18</v>
      </c>
      <c r="I313" s="52">
        <v>7533.16</v>
      </c>
      <c r="J313" s="22" t="s">
        <v>20</v>
      </c>
      <c r="K313" s="22">
        <v>363.21</v>
      </c>
      <c r="L313" s="22" t="s">
        <v>559</v>
      </c>
      <c r="M313" s="22" t="s">
        <v>21</v>
      </c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  <c r="DH313" s="20"/>
      <c r="DI313" s="20"/>
      <c r="DJ313" s="20"/>
      <c r="DK313" s="20"/>
      <c r="DL313" s="20"/>
      <c r="DM313" s="20"/>
      <c r="DN313" s="20"/>
      <c r="DO313" s="20"/>
      <c r="DP313" s="20"/>
      <c r="DQ313" s="20"/>
      <c r="DR313" s="20"/>
      <c r="DS313" s="20"/>
      <c r="DT313" s="20"/>
      <c r="DU313" s="20"/>
      <c r="DV313" s="20"/>
      <c r="DW313" s="20"/>
      <c r="DX313" s="20"/>
      <c r="DY313" s="20"/>
      <c r="DZ313" s="20"/>
      <c r="EA313" s="20"/>
      <c r="EB313" s="20"/>
      <c r="EC313" s="20"/>
      <c r="ED313" s="20"/>
      <c r="EE313" s="20"/>
      <c r="EF313" s="20"/>
      <c r="EG313" s="20"/>
      <c r="EH313" s="20"/>
      <c r="EI313" s="20"/>
      <c r="EJ313" s="20"/>
      <c r="EK313" s="20"/>
      <c r="EL313" s="20"/>
      <c r="EM313" s="20"/>
      <c r="EN313" s="20"/>
      <c r="EO313" s="20"/>
      <c r="EP313" s="20"/>
      <c r="EQ313" s="20"/>
      <c r="ER313" s="20"/>
      <c r="ES313" s="20"/>
      <c r="ET313" s="20"/>
      <c r="EU313" s="20"/>
      <c r="EV313" s="20"/>
      <c r="EW313" s="20"/>
      <c r="EX313" s="20"/>
      <c r="EY313" s="20"/>
      <c r="EZ313" s="20"/>
      <c r="FA313" s="20"/>
      <c r="FB313" s="20"/>
      <c r="FC313" s="20"/>
      <c r="FD313" s="20"/>
      <c r="FE313" s="20"/>
      <c r="FF313" s="20"/>
      <c r="FG313" s="20"/>
      <c r="FH313" s="20"/>
      <c r="FI313" s="20"/>
      <c r="FJ313" s="20"/>
      <c r="FK313" s="20"/>
      <c r="FL313" s="20"/>
      <c r="FM313" s="20"/>
      <c r="FN313" s="20"/>
      <c r="FO313" s="20"/>
      <c r="FP313" s="20"/>
      <c r="FQ313" s="20"/>
      <c r="FR313" s="20"/>
      <c r="FS313" s="20"/>
      <c r="FT313" s="20"/>
      <c r="FU313" s="20"/>
      <c r="FV313" s="20"/>
      <c r="FW313" s="20"/>
      <c r="FX313" s="20"/>
      <c r="FY313" s="20"/>
      <c r="FZ313" s="20"/>
      <c r="GA313" s="20"/>
      <c r="GB313" s="20"/>
      <c r="GC313" s="20"/>
      <c r="GD313" s="20"/>
      <c r="GE313" s="20"/>
      <c r="GF313" s="20"/>
      <c r="GG313" s="20"/>
      <c r="GH313" s="20"/>
      <c r="GI313" s="20"/>
      <c r="GJ313" s="20"/>
      <c r="GK313" s="20"/>
      <c r="GL313" s="20"/>
      <c r="GM313" s="20"/>
      <c r="GN313" s="20"/>
      <c r="GO313" s="20"/>
      <c r="GP313" s="20"/>
      <c r="GQ313" s="20"/>
      <c r="GR313" s="20"/>
      <c r="GS313" s="20"/>
      <c r="GT313" s="20"/>
      <c r="GU313" s="20"/>
      <c r="GV313" s="20"/>
      <c r="GW313" s="20"/>
      <c r="GX313" s="20"/>
      <c r="GY313" s="20"/>
      <c r="GZ313" s="20"/>
      <c r="HA313" s="20"/>
      <c r="HB313" s="20"/>
      <c r="HC313" s="20"/>
      <c r="HD313" s="20"/>
      <c r="HE313" s="20"/>
      <c r="HF313" s="20"/>
      <c r="HG313" s="20"/>
      <c r="HH313" s="20"/>
      <c r="HI313" s="20"/>
      <c r="HJ313" s="20"/>
      <c r="HK313" s="20"/>
      <c r="HL313" s="20"/>
      <c r="HM313" s="20"/>
      <c r="HN313" s="20"/>
      <c r="HO313" s="20"/>
      <c r="HP313" s="20"/>
      <c r="HQ313" s="20"/>
      <c r="HR313" s="20"/>
    </row>
    <row r="314" spans="1:226" x14ac:dyDescent="0.2">
      <c r="A314" s="72" t="s">
        <v>102</v>
      </c>
      <c r="B314" s="72">
        <v>18164569752</v>
      </c>
      <c r="C314" s="104"/>
      <c r="D314" s="105" t="s">
        <v>27</v>
      </c>
      <c r="E314" s="106">
        <v>814969268</v>
      </c>
      <c r="F314" s="107">
        <v>45723</v>
      </c>
      <c r="G314" s="107">
        <v>45723</v>
      </c>
      <c r="H314" s="108" t="s">
        <v>171</v>
      </c>
      <c r="I314" s="109">
        <v>7492.99</v>
      </c>
      <c r="J314" s="72" t="s">
        <v>20</v>
      </c>
      <c r="K314" s="72"/>
      <c r="L314" s="72" t="s">
        <v>704</v>
      </c>
      <c r="M314" s="39" t="s">
        <v>875</v>
      </c>
      <c r="N314" s="44"/>
      <c r="O314" s="44"/>
    </row>
    <row r="315" spans="1:226" s="21" customFormat="1" x14ac:dyDescent="0.2">
      <c r="A315" s="37" t="s">
        <v>26</v>
      </c>
      <c r="B315" s="36">
        <v>4811196831</v>
      </c>
      <c r="C315" s="36"/>
      <c r="D315" s="37" t="s">
        <v>477</v>
      </c>
      <c r="E315" s="36">
        <v>122107621</v>
      </c>
      <c r="F315" s="38">
        <v>45572</v>
      </c>
      <c r="G315" s="38">
        <v>45911</v>
      </c>
      <c r="H315" s="37"/>
      <c r="I315" s="43">
        <v>7218.75</v>
      </c>
      <c r="J315" s="37" t="s">
        <v>20</v>
      </c>
      <c r="K315" s="37">
        <v>687.5</v>
      </c>
      <c r="L315" s="37"/>
      <c r="M315" s="37" t="s">
        <v>190</v>
      </c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0"/>
      <c r="DU315" s="20"/>
      <c r="DV315" s="20"/>
      <c r="DW315" s="20"/>
      <c r="DX315" s="20"/>
      <c r="DY315" s="20"/>
      <c r="DZ315" s="20"/>
      <c r="EA315" s="20"/>
      <c r="EB315" s="20"/>
      <c r="EC315" s="20"/>
      <c r="ED315" s="20"/>
      <c r="EE315" s="20"/>
      <c r="EF315" s="20"/>
      <c r="EG315" s="20"/>
      <c r="EH315" s="20"/>
      <c r="EI315" s="20"/>
      <c r="EJ315" s="20"/>
      <c r="EK315" s="20"/>
      <c r="EL315" s="20"/>
      <c r="EM315" s="20"/>
      <c r="EN315" s="20"/>
      <c r="EO315" s="20"/>
      <c r="EP315" s="20"/>
      <c r="EQ315" s="20"/>
      <c r="ER315" s="20"/>
      <c r="ES315" s="20"/>
      <c r="ET315" s="20"/>
      <c r="EU315" s="20"/>
      <c r="EV315" s="20"/>
      <c r="EW315" s="20"/>
      <c r="EX315" s="20"/>
      <c r="EY315" s="20"/>
      <c r="EZ315" s="20"/>
      <c r="FA315" s="20"/>
      <c r="FB315" s="20"/>
      <c r="FC315" s="20"/>
      <c r="FD315" s="20"/>
      <c r="FE315" s="20"/>
      <c r="FF315" s="20"/>
      <c r="FG315" s="20"/>
      <c r="FH315" s="20"/>
      <c r="FI315" s="20"/>
      <c r="FJ315" s="20"/>
      <c r="FK315" s="20"/>
      <c r="FL315" s="20"/>
      <c r="FM315" s="20"/>
      <c r="FN315" s="20"/>
      <c r="FO315" s="20"/>
      <c r="FP315" s="20"/>
      <c r="FQ315" s="20"/>
      <c r="FR315" s="20"/>
      <c r="FS315" s="20"/>
      <c r="FT315" s="20"/>
      <c r="FU315" s="20"/>
      <c r="FV315" s="20"/>
      <c r="FW315" s="20"/>
      <c r="FX315" s="20"/>
      <c r="FY315" s="20"/>
      <c r="FZ315" s="20"/>
      <c r="GA315" s="20"/>
      <c r="GB315" s="20"/>
      <c r="GC315" s="20"/>
      <c r="GD315" s="20"/>
      <c r="GE315" s="20"/>
      <c r="GF315" s="20"/>
      <c r="GG315" s="20"/>
      <c r="GH315" s="20"/>
      <c r="GI315" s="20"/>
      <c r="GJ315" s="20"/>
      <c r="GK315" s="20"/>
      <c r="GL315" s="20"/>
      <c r="GM315" s="20"/>
      <c r="GN315" s="20"/>
      <c r="GO315" s="20"/>
      <c r="GP315" s="20"/>
      <c r="GQ315" s="20"/>
      <c r="GR315" s="20"/>
      <c r="GS315" s="20"/>
      <c r="GT315" s="20"/>
      <c r="GU315" s="20"/>
      <c r="GV315" s="20"/>
      <c r="GW315" s="20"/>
      <c r="GX315" s="20"/>
      <c r="GY315" s="20"/>
      <c r="GZ315" s="20"/>
      <c r="HA315" s="20"/>
      <c r="HB315" s="20"/>
      <c r="HC315" s="20"/>
      <c r="HD315" s="20"/>
      <c r="HE315" s="20"/>
      <c r="HF315" s="20"/>
      <c r="HG315" s="20"/>
      <c r="HH315" s="20"/>
      <c r="HI315" s="20"/>
      <c r="HJ315" s="20"/>
      <c r="HK315" s="20"/>
      <c r="HL315" s="20"/>
      <c r="HM315" s="20"/>
      <c r="HN315" s="20"/>
      <c r="HO315" s="20"/>
      <c r="HP315" s="20"/>
      <c r="HQ315" s="20"/>
      <c r="HR315" s="20"/>
    </row>
    <row r="316" spans="1:226" s="45" customFormat="1" x14ac:dyDescent="0.2">
      <c r="A316" s="22" t="s">
        <v>196</v>
      </c>
      <c r="B316" s="23">
        <v>16174573318</v>
      </c>
      <c r="C316" s="23"/>
      <c r="D316" s="22" t="s">
        <v>31</v>
      </c>
      <c r="E316" s="23">
        <v>1128014377</v>
      </c>
      <c r="F316" s="24">
        <v>45380</v>
      </c>
      <c r="G316" s="24"/>
      <c r="H316" s="22" t="s">
        <v>197</v>
      </c>
      <c r="I316" s="52">
        <v>7103.86</v>
      </c>
      <c r="J316" s="22" t="s">
        <v>44</v>
      </c>
      <c r="K316" s="66">
        <v>608.9</v>
      </c>
      <c r="L316" s="22" t="s">
        <v>198</v>
      </c>
      <c r="M316" s="22" t="s">
        <v>179</v>
      </c>
      <c r="N316" s="20"/>
      <c r="O316" s="20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</row>
    <row r="317" spans="1:226" x14ac:dyDescent="0.2">
      <c r="A317" s="37" t="s">
        <v>33</v>
      </c>
      <c r="B317" s="36">
        <v>21518791600</v>
      </c>
      <c r="C317" s="36"/>
      <c r="D317" s="37" t="s">
        <v>27</v>
      </c>
      <c r="E317" s="36">
        <v>92453469</v>
      </c>
      <c r="F317" s="38">
        <v>45288</v>
      </c>
      <c r="G317" s="38"/>
      <c r="H317" s="37" t="s">
        <v>34</v>
      </c>
      <c r="I317" s="43">
        <v>6997.97</v>
      </c>
      <c r="J317" s="37" t="s">
        <v>19</v>
      </c>
      <c r="K317" s="37">
        <v>634.39</v>
      </c>
      <c r="L317" s="37" t="s">
        <v>35</v>
      </c>
      <c r="M317" s="37" t="s">
        <v>22</v>
      </c>
      <c r="N317" s="20" t="s">
        <v>36</v>
      </c>
    </row>
    <row r="318" spans="1:226" x14ac:dyDescent="0.2">
      <c r="A318" s="37" t="s">
        <v>13</v>
      </c>
      <c r="B318" s="36">
        <v>6211022844</v>
      </c>
      <c r="C318" s="36"/>
      <c r="D318" s="37" t="s">
        <v>31</v>
      </c>
      <c r="E318" s="36">
        <v>891170964</v>
      </c>
      <c r="F318" s="38">
        <v>45596</v>
      </c>
      <c r="G318" s="38">
        <v>45962</v>
      </c>
      <c r="H318" s="37" t="s">
        <v>499</v>
      </c>
      <c r="I318" s="43">
        <v>6870.17</v>
      </c>
      <c r="J318" s="37" t="s">
        <v>20</v>
      </c>
      <c r="K318" s="37">
        <v>523.47</v>
      </c>
      <c r="L318" s="37" t="s">
        <v>977</v>
      </c>
      <c r="M318" s="37" t="s">
        <v>752</v>
      </c>
    </row>
    <row r="319" spans="1:226" s="28" customFormat="1" x14ac:dyDescent="0.2">
      <c r="A319" s="22" t="s">
        <v>424</v>
      </c>
      <c r="B319" s="23">
        <v>13664716026</v>
      </c>
      <c r="C319" s="23"/>
      <c r="D319" s="22" t="s">
        <v>27</v>
      </c>
      <c r="E319" s="23">
        <v>441627271</v>
      </c>
      <c r="F319" s="24">
        <v>45925</v>
      </c>
      <c r="G319" s="24">
        <v>45925</v>
      </c>
      <c r="H319" s="22" t="s">
        <v>459</v>
      </c>
      <c r="I319" s="52">
        <v>6823.14</v>
      </c>
      <c r="J319" s="22" t="s">
        <v>19</v>
      </c>
      <c r="K319" s="22">
        <v>367.97</v>
      </c>
      <c r="L319" s="22" t="s">
        <v>460</v>
      </c>
      <c r="M319" s="22" t="s">
        <v>81</v>
      </c>
      <c r="N319" s="81">
        <v>30778</v>
      </c>
      <c r="O319" s="21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</row>
    <row r="320" spans="1:226" s="28" customFormat="1" x14ac:dyDescent="0.2">
      <c r="A320" s="37" t="s">
        <v>43</v>
      </c>
      <c r="B320" s="36">
        <v>62323222248</v>
      </c>
      <c r="C320" s="36"/>
      <c r="D320" s="37" t="s">
        <v>463</v>
      </c>
      <c r="E320" s="36">
        <v>301000124604498</v>
      </c>
      <c r="F320" s="38">
        <v>45561</v>
      </c>
      <c r="G320" s="38">
        <v>45926</v>
      </c>
      <c r="H320" s="37" t="s">
        <v>464</v>
      </c>
      <c r="I320" s="43">
        <v>6806</v>
      </c>
      <c r="J320" s="37" t="s">
        <v>44</v>
      </c>
      <c r="K320" s="37">
        <v>611.24</v>
      </c>
      <c r="L320" s="37" t="s">
        <v>465</v>
      </c>
      <c r="M320" s="37" t="s">
        <v>25</v>
      </c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</row>
    <row r="321" spans="1:226" x14ac:dyDescent="0.2">
      <c r="A321" s="37" t="s">
        <v>301</v>
      </c>
      <c r="B321" s="36">
        <v>38587298572</v>
      </c>
      <c r="C321" s="36"/>
      <c r="D321" s="36" t="s">
        <v>27</v>
      </c>
      <c r="E321" s="36">
        <v>120495494</v>
      </c>
      <c r="F321" s="38">
        <v>45453</v>
      </c>
      <c r="G321" s="38">
        <v>45823</v>
      </c>
      <c r="H321" s="37" t="s">
        <v>302</v>
      </c>
      <c r="I321" s="43">
        <v>6636.82</v>
      </c>
      <c r="J321" s="36" t="s">
        <v>19</v>
      </c>
      <c r="K321" s="37">
        <v>783.11</v>
      </c>
      <c r="L321" s="37" t="s">
        <v>308</v>
      </c>
      <c r="M321" s="36" t="s">
        <v>190</v>
      </c>
      <c r="O321" s="34"/>
    </row>
    <row r="322" spans="1:226" s="21" customFormat="1" x14ac:dyDescent="0.2">
      <c r="A322" s="22" t="s">
        <v>406</v>
      </c>
      <c r="B322" s="23">
        <v>56971561088</v>
      </c>
      <c r="C322" s="23"/>
      <c r="D322" s="22" t="s">
        <v>104</v>
      </c>
      <c r="E322" s="23">
        <v>500902123</v>
      </c>
      <c r="F322" s="24">
        <v>45499</v>
      </c>
      <c r="G322" s="24">
        <v>45867</v>
      </c>
      <c r="H322" s="22"/>
      <c r="I322" s="52">
        <v>6554.2</v>
      </c>
      <c r="J322" s="22" t="s">
        <v>44</v>
      </c>
      <c r="K322" s="22">
        <f>1246.95*0.6</f>
        <v>748.17</v>
      </c>
      <c r="L322" s="22"/>
      <c r="M322" s="22" t="s">
        <v>90</v>
      </c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</row>
    <row r="323" spans="1:226" s="28" customFormat="1" x14ac:dyDescent="0.2">
      <c r="A323" s="22" t="s">
        <v>33</v>
      </c>
      <c r="B323" s="23">
        <v>21518791600</v>
      </c>
      <c r="C323" s="23"/>
      <c r="D323" s="22" t="s">
        <v>31</v>
      </c>
      <c r="E323" s="23">
        <v>1596610924</v>
      </c>
      <c r="F323" s="24">
        <v>45646</v>
      </c>
      <c r="G323" s="24">
        <v>46011</v>
      </c>
      <c r="H323" s="22" t="s">
        <v>579</v>
      </c>
      <c r="I323" s="52">
        <v>6540</v>
      </c>
      <c r="J323" s="22" t="s">
        <v>44</v>
      </c>
      <c r="K323" s="22">
        <f>944.15*0.6</f>
        <v>566.49</v>
      </c>
      <c r="L323" s="22" t="s">
        <v>580</v>
      </c>
      <c r="M323" s="22" t="s">
        <v>140</v>
      </c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</row>
    <row r="324" spans="1:226" s="21" customFormat="1" x14ac:dyDescent="0.2">
      <c r="A324" s="22" t="s">
        <v>33</v>
      </c>
      <c r="B324" s="23">
        <v>21518791600</v>
      </c>
      <c r="C324" s="23"/>
      <c r="D324" s="22" t="s">
        <v>31</v>
      </c>
      <c r="E324" s="23">
        <v>1596610924</v>
      </c>
      <c r="F324" s="24">
        <v>45646</v>
      </c>
      <c r="G324" s="24">
        <v>46011</v>
      </c>
      <c r="H324" s="22" t="s">
        <v>579</v>
      </c>
      <c r="I324" s="52">
        <v>6540</v>
      </c>
      <c r="J324" s="22" t="s">
        <v>44</v>
      </c>
      <c r="K324" s="22">
        <f>944.15*0.6</f>
        <v>566.49</v>
      </c>
      <c r="L324" s="22" t="s">
        <v>580</v>
      </c>
      <c r="M324" s="22" t="s">
        <v>140</v>
      </c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</row>
    <row r="325" spans="1:226" s="28" customFormat="1" x14ac:dyDescent="0.2">
      <c r="A325" s="22" t="s">
        <v>43</v>
      </c>
      <c r="B325" s="23">
        <v>62323222248</v>
      </c>
      <c r="C325" s="23"/>
      <c r="D325" s="22" t="s">
        <v>31</v>
      </c>
      <c r="E325" s="23"/>
      <c r="F325" s="24">
        <v>45561</v>
      </c>
      <c r="G325" s="24"/>
      <c r="H325" s="22" t="s">
        <v>464</v>
      </c>
      <c r="I325" s="52">
        <v>6318</v>
      </c>
      <c r="J325" s="22" t="s">
        <v>462</v>
      </c>
      <c r="K325" s="22">
        <f>1053.07*0.6</f>
        <v>631.84199999999998</v>
      </c>
      <c r="L325" s="22"/>
      <c r="M325" s="22" t="s">
        <v>59</v>
      </c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</row>
    <row r="326" spans="1:226" x14ac:dyDescent="0.2">
      <c r="A326" s="37" t="s">
        <v>202</v>
      </c>
      <c r="B326" s="36">
        <v>10526822208</v>
      </c>
      <c r="C326" s="36"/>
      <c r="D326" s="37" t="s">
        <v>27</v>
      </c>
      <c r="E326" s="36">
        <v>119799716</v>
      </c>
      <c r="F326" s="38">
        <v>45383</v>
      </c>
      <c r="G326" s="38"/>
      <c r="H326" s="37" t="s">
        <v>203</v>
      </c>
      <c r="I326" s="43">
        <v>6287.56</v>
      </c>
      <c r="J326" s="37" t="s">
        <v>19</v>
      </c>
      <c r="K326" s="62">
        <v>747.57</v>
      </c>
      <c r="L326" s="37" t="s">
        <v>205</v>
      </c>
      <c r="M326" s="37" t="s">
        <v>190</v>
      </c>
      <c r="N326" s="20" t="s">
        <v>204</v>
      </c>
    </row>
    <row r="327" spans="1:226" s="64" customFormat="1" x14ac:dyDescent="0.2">
      <c r="A327" s="22" t="s">
        <v>401</v>
      </c>
      <c r="B327" s="23">
        <v>99613829580</v>
      </c>
      <c r="C327" s="23"/>
      <c r="D327" s="22" t="s">
        <v>27</v>
      </c>
      <c r="E327" s="23">
        <v>1333962424</v>
      </c>
      <c r="F327" s="24">
        <v>45498</v>
      </c>
      <c r="G327" s="24">
        <v>45869</v>
      </c>
      <c r="H327" s="22" t="s">
        <v>402</v>
      </c>
      <c r="I327" s="52">
        <v>5936.45</v>
      </c>
      <c r="J327" s="22" t="s">
        <v>20</v>
      </c>
      <c r="K327" s="22">
        <f>530.04*0.6</f>
        <v>318.02399999999994</v>
      </c>
      <c r="L327" s="22" t="s">
        <v>403</v>
      </c>
      <c r="M327" s="22" t="s">
        <v>140</v>
      </c>
      <c r="N327" s="20" t="s">
        <v>404</v>
      </c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  <c r="DK327" s="20"/>
      <c r="DL327" s="20"/>
      <c r="DM327" s="20"/>
      <c r="DN327" s="20"/>
      <c r="DO327" s="20"/>
      <c r="DP327" s="20"/>
      <c r="DQ327" s="20"/>
      <c r="DR327" s="20"/>
      <c r="DS327" s="20"/>
      <c r="DT327" s="20"/>
      <c r="DU327" s="20"/>
      <c r="DV327" s="20"/>
      <c r="DW327" s="20"/>
      <c r="DX327" s="20"/>
      <c r="DY327" s="20"/>
      <c r="DZ327" s="20"/>
      <c r="EA327" s="20"/>
      <c r="EB327" s="20"/>
      <c r="EC327" s="20"/>
      <c r="ED327" s="20"/>
      <c r="EE327" s="20"/>
      <c r="EF327" s="20"/>
      <c r="EG327" s="20"/>
      <c r="EH327" s="20"/>
      <c r="EI327" s="20"/>
      <c r="EJ327" s="20"/>
      <c r="EK327" s="20"/>
      <c r="EL327" s="20"/>
      <c r="EM327" s="20"/>
      <c r="EN327" s="20"/>
      <c r="EO327" s="20"/>
      <c r="EP327" s="20"/>
      <c r="EQ327" s="20"/>
      <c r="ER327" s="20"/>
      <c r="ES327" s="20"/>
      <c r="ET327" s="20"/>
      <c r="EU327" s="20"/>
      <c r="EV327" s="20"/>
      <c r="EW327" s="20"/>
      <c r="EX327" s="20"/>
      <c r="EY327" s="20"/>
      <c r="EZ327" s="20"/>
      <c r="FA327" s="20"/>
      <c r="FB327" s="20"/>
      <c r="FC327" s="20"/>
      <c r="FD327" s="20"/>
      <c r="FE327" s="20"/>
      <c r="FF327" s="20"/>
      <c r="FG327" s="20"/>
      <c r="FH327" s="20"/>
      <c r="FI327" s="20"/>
      <c r="FJ327" s="20"/>
      <c r="FK327" s="20"/>
      <c r="FL327" s="20"/>
      <c r="FM327" s="20"/>
      <c r="FN327" s="20"/>
      <c r="FO327" s="20"/>
      <c r="FP327" s="20"/>
      <c r="FQ327" s="20"/>
      <c r="FR327" s="20"/>
      <c r="FS327" s="20"/>
      <c r="FT327" s="20"/>
      <c r="FU327" s="20"/>
      <c r="FV327" s="20"/>
      <c r="FW327" s="20"/>
      <c r="FX327" s="20"/>
      <c r="FY327" s="20"/>
      <c r="FZ327" s="20"/>
      <c r="GA327" s="20"/>
      <c r="GB327" s="20"/>
      <c r="GC327" s="20"/>
      <c r="GD327" s="20"/>
      <c r="GE327" s="20"/>
      <c r="GF327" s="20"/>
      <c r="GG327" s="20"/>
      <c r="GH327" s="20"/>
      <c r="GI327" s="20"/>
      <c r="GJ327" s="20"/>
      <c r="GK327" s="20"/>
      <c r="GL327" s="20"/>
      <c r="GM327" s="20"/>
      <c r="GN327" s="20"/>
      <c r="GO327" s="20"/>
      <c r="GP327" s="20"/>
      <c r="GQ327" s="20"/>
      <c r="GR327" s="20"/>
      <c r="GS327" s="20"/>
      <c r="GT327" s="20"/>
      <c r="GU327" s="20"/>
      <c r="GV327" s="20"/>
      <c r="GW327" s="20"/>
      <c r="GX327" s="20"/>
      <c r="GY327" s="20"/>
      <c r="GZ327" s="20"/>
      <c r="HA327" s="20"/>
      <c r="HB327" s="20"/>
      <c r="HC327" s="20"/>
      <c r="HD327" s="20"/>
      <c r="HE327" s="20"/>
      <c r="HF327" s="20"/>
      <c r="HG327" s="20"/>
      <c r="HH327" s="20"/>
      <c r="HI327" s="20"/>
      <c r="HJ327" s="20"/>
      <c r="HK327" s="20"/>
      <c r="HL327" s="20"/>
      <c r="HM327" s="20"/>
      <c r="HN327" s="20"/>
      <c r="HO327" s="20"/>
      <c r="HP327" s="20"/>
      <c r="HQ327" s="20"/>
      <c r="HR327" s="20"/>
    </row>
    <row r="328" spans="1:226" s="28" customFormat="1" x14ac:dyDescent="0.2">
      <c r="A328" s="37" t="s">
        <v>160</v>
      </c>
      <c r="B328" s="36">
        <v>46834465134</v>
      </c>
      <c r="C328" s="36"/>
      <c r="D328" s="36" t="s">
        <v>27</v>
      </c>
      <c r="E328" s="36">
        <v>301000118789124</v>
      </c>
      <c r="F328" s="38">
        <v>45539</v>
      </c>
      <c r="G328" s="38">
        <v>45905</v>
      </c>
      <c r="H328" s="37" t="s">
        <v>439</v>
      </c>
      <c r="I328" s="43">
        <v>5873.82</v>
      </c>
      <c r="J328" s="37" t="s">
        <v>44</v>
      </c>
      <c r="K328" s="37">
        <v>524.45000000000005</v>
      </c>
      <c r="L328" s="37" t="s">
        <v>440</v>
      </c>
      <c r="M328" s="37" t="s">
        <v>25</v>
      </c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</row>
    <row r="329" spans="1:226" s="28" customFormat="1" x14ac:dyDescent="0.2">
      <c r="A329" s="22" t="s">
        <v>424</v>
      </c>
      <c r="B329" s="23">
        <v>13664716026</v>
      </c>
      <c r="C329" s="23"/>
      <c r="D329" s="22" t="s">
        <v>27</v>
      </c>
      <c r="E329" s="23">
        <v>1427259524</v>
      </c>
      <c r="F329" s="24">
        <v>45560</v>
      </c>
      <c r="G329" s="24">
        <v>45925</v>
      </c>
      <c r="H329" s="22" t="s">
        <v>459</v>
      </c>
      <c r="I329" s="52">
        <v>5655.45</v>
      </c>
      <c r="J329" s="22" t="s">
        <v>19</v>
      </c>
      <c r="K329" s="22">
        <v>302.97000000000003</v>
      </c>
      <c r="L329" s="22" t="s">
        <v>460</v>
      </c>
      <c r="M329" s="22" t="s">
        <v>140</v>
      </c>
      <c r="N329" s="27">
        <v>30778</v>
      </c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</row>
    <row r="330" spans="1:226" s="28" customFormat="1" x14ac:dyDescent="0.2">
      <c r="A330" s="37" t="s">
        <v>167</v>
      </c>
      <c r="B330" s="36">
        <v>62353221228</v>
      </c>
      <c r="C330" s="36"/>
      <c r="D330" s="37" t="s">
        <v>27</v>
      </c>
      <c r="E330" s="36">
        <v>301000097731128</v>
      </c>
      <c r="F330" s="38">
        <v>45453</v>
      </c>
      <c r="G330" s="38">
        <v>45829</v>
      </c>
      <c r="H330" s="37" t="s">
        <v>300</v>
      </c>
      <c r="I330" s="43">
        <v>5645.15</v>
      </c>
      <c r="J330" s="37" t="s">
        <v>44</v>
      </c>
      <c r="K330" s="37">
        <v>512.20000000000005</v>
      </c>
      <c r="L330" s="37" t="s">
        <v>307</v>
      </c>
      <c r="M330" s="37" t="s">
        <v>25</v>
      </c>
      <c r="N330" s="27" t="s">
        <v>309</v>
      </c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</row>
    <row r="331" spans="1:226" s="28" customFormat="1" x14ac:dyDescent="0.2">
      <c r="A331" s="37" t="s">
        <v>278</v>
      </c>
      <c r="B331" s="36">
        <v>24347359300</v>
      </c>
      <c r="C331" s="36"/>
      <c r="D331" s="37" t="s">
        <v>463</v>
      </c>
      <c r="E331" s="36">
        <v>301000124612428</v>
      </c>
      <c r="F331" s="38">
        <v>45561</v>
      </c>
      <c r="G331" s="38">
        <v>45926</v>
      </c>
      <c r="H331" s="37" t="s">
        <v>227</v>
      </c>
      <c r="I331" s="43">
        <v>5631.6</v>
      </c>
      <c r="J331" s="37" t="s">
        <v>44</v>
      </c>
      <c r="K331" s="37">
        <v>502.82</v>
      </c>
      <c r="L331" s="37" t="s">
        <v>466</v>
      </c>
      <c r="M331" s="37" t="s">
        <v>25</v>
      </c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</row>
    <row r="332" spans="1:226" s="28" customFormat="1" ht="13.8" customHeight="1" x14ac:dyDescent="0.2">
      <c r="A332" s="37" t="s">
        <v>278</v>
      </c>
      <c r="B332" s="36">
        <v>24347359300</v>
      </c>
      <c r="C332" s="36"/>
      <c r="D332" s="37" t="s">
        <v>463</v>
      </c>
      <c r="E332" s="36">
        <v>311000488958363</v>
      </c>
      <c r="F332" s="38">
        <v>45926</v>
      </c>
      <c r="G332" s="38">
        <v>45926</v>
      </c>
      <c r="H332" s="37" t="s">
        <v>227</v>
      </c>
      <c r="I332" s="43">
        <v>5631.6</v>
      </c>
      <c r="J332" s="37" t="s">
        <v>44</v>
      </c>
      <c r="K332" s="37">
        <v>743.63</v>
      </c>
      <c r="L332" s="37" t="s">
        <v>466</v>
      </c>
      <c r="M332" s="37" t="s">
        <v>251</v>
      </c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</row>
    <row r="333" spans="1:226" s="28" customFormat="1" x14ac:dyDescent="0.2">
      <c r="A333" s="22" t="s">
        <v>108</v>
      </c>
      <c r="B333" s="23">
        <v>30040387106</v>
      </c>
      <c r="C333" s="23"/>
      <c r="D333" s="22" t="s">
        <v>27</v>
      </c>
      <c r="E333" s="23">
        <v>299891010144</v>
      </c>
      <c r="F333" s="24">
        <v>45317</v>
      </c>
      <c r="G333" s="24"/>
      <c r="H333" s="23" t="s">
        <v>109</v>
      </c>
      <c r="I333" s="52">
        <v>5412.89</v>
      </c>
      <c r="J333" s="22" t="s">
        <v>20</v>
      </c>
      <c r="K333" s="22"/>
      <c r="L333" s="22" t="s">
        <v>110</v>
      </c>
      <c r="M333" s="22" t="s">
        <v>107</v>
      </c>
      <c r="N333" s="20" t="s">
        <v>111</v>
      </c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</row>
    <row r="334" spans="1:226" s="110" customFormat="1" x14ac:dyDescent="0.2">
      <c r="A334" s="46" t="s">
        <v>108</v>
      </c>
      <c r="B334" s="47">
        <v>30040387106</v>
      </c>
      <c r="C334" s="47"/>
      <c r="D334" s="46" t="s">
        <v>27</v>
      </c>
      <c r="E334" s="47">
        <v>299891010144</v>
      </c>
      <c r="F334" s="48">
        <v>45683</v>
      </c>
      <c r="G334" s="48">
        <v>45683</v>
      </c>
      <c r="H334" s="47" t="s">
        <v>109</v>
      </c>
      <c r="I334" s="49">
        <v>5412.89</v>
      </c>
      <c r="J334" s="46" t="s">
        <v>20</v>
      </c>
      <c r="K334" s="46"/>
      <c r="L334" s="46" t="s">
        <v>110</v>
      </c>
      <c r="M334" s="46" t="s">
        <v>107</v>
      </c>
      <c r="N334" s="20" t="s">
        <v>111</v>
      </c>
      <c r="O334" s="20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</row>
    <row r="335" spans="1:226" s="110" customFormat="1" x14ac:dyDescent="0.2">
      <c r="A335" s="37" t="s">
        <v>102</v>
      </c>
      <c r="B335" s="36">
        <v>18164569752</v>
      </c>
      <c r="C335" s="36"/>
      <c r="D335" s="37" t="s">
        <v>27</v>
      </c>
      <c r="E335" s="36">
        <v>100000216909420</v>
      </c>
      <c r="F335" s="38">
        <v>45344</v>
      </c>
      <c r="G335" s="38">
        <v>45723</v>
      </c>
      <c r="H335" s="37" t="s">
        <v>171</v>
      </c>
      <c r="I335" s="43">
        <v>5184.22</v>
      </c>
      <c r="J335" s="37" t="s">
        <v>20</v>
      </c>
      <c r="K335" s="37">
        <v>469.94</v>
      </c>
      <c r="L335" s="37" t="s">
        <v>704</v>
      </c>
      <c r="M335" s="37" t="s">
        <v>186</v>
      </c>
      <c r="N335" s="20" t="s">
        <v>141</v>
      </c>
      <c r="O335" s="20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</row>
    <row r="336" spans="1:226" s="112" customFormat="1" x14ac:dyDescent="0.2">
      <c r="A336" s="37" t="s">
        <v>275</v>
      </c>
      <c r="B336" s="36"/>
      <c r="C336" s="36"/>
      <c r="D336" s="36" t="s">
        <v>373</v>
      </c>
      <c r="E336" s="36">
        <v>600000002162449</v>
      </c>
      <c r="F336" s="38">
        <v>45915</v>
      </c>
      <c r="G336" s="38"/>
      <c r="H336" s="37"/>
      <c r="I336" s="43">
        <v>5084.33</v>
      </c>
      <c r="J336" s="37" t="s">
        <v>19</v>
      </c>
      <c r="K336" s="37">
        <v>1271.08</v>
      </c>
      <c r="L336" s="37"/>
      <c r="M336" s="37" t="s">
        <v>25</v>
      </c>
      <c r="N336" s="28"/>
      <c r="O336" s="28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111"/>
    </row>
    <row r="337" spans="1:226" s="115" customFormat="1" x14ac:dyDescent="0.2">
      <c r="A337" s="35" t="s">
        <v>37</v>
      </c>
      <c r="B337" s="82"/>
      <c r="C337" s="82"/>
      <c r="D337" s="113" t="s">
        <v>42</v>
      </c>
      <c r="E337" s="82" t="s">
        <v>41</v>
      </c>
      <c r="F337" s="83">
        <v>45657</v>
      </c>
      <c r="G337" s="83"/>
      <c r="H337" s="22" t="s">
        <v>38</v>
      </c>
      <c r="I337" s="84">
        <v>4955.79</v>
      </c>
      <c r="J337" s="22" t="s">
        <v>20</v>
      </c>
      <c r="K337" s="35">
        <v>267.01</v>
      </c>
      <c r="L337" s="22" t="s">
        <v>39</v>
      </c>
      <c r="M337" s="35" t="s">
        <v>106</v>
      </c>
      <c r="N337" s="44"/>
      <c r="O337" s="44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114"/>
    </row>
    <row r="338" spans="1:226" s="37" customFormat="1" x14ac:dyDescent="0.2">
      <c r="A338" s="46" t="s">
        <v>37</v>
      </c>
      <c r="B338" s="112">
        <v>1010880886</v>
      </c>
      <c r="C338" s="116">
        <v>5073802500</v>
      </c>
      <c r="D338" s="117" t="s">
        <v>42</v>
      </c>
      <c r="E338" s="116" t="s">
        <v>41</v>
      </c>
      <c r="F338" s="118">
        <v>45656</v>
      </c>
      <c r="G338" s="118">
        <v>46022</v>
      </c>
      <c r="H338" s="46" t="s">
        <v>38</v>
      </c>
      <c r="I338" s="119">
        <v>4955.79</v>
      </c>
      <c r="J338" s="46" t="s">
        <v>20</v>
      </c>
      <c r="K338" s="112">
        <v>267.01</v>
      </c>
      <c r="L338" s="46" t="s">
        <v>39</v>
      </c>
      <c r="M338" s="112"/>
      <c r="N338" s="44"/>
      <c r="O338" s="44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120"/>
    </row>
    <row r="339" spans="1:226" s="64" customFormat="1" x14ac:dyDescent="0.2">
      <c r="A339" s="46" t="s">
        <v>37</v>
      </c>
      <c r="B339" s="112">
        <v>1010880886</v>
      </c>
      <c r="C339" s="116">
        <v>5073802500</v>
      </c>
      <c r="D339" s="117" t="s">
        <v>42</v>
      </c>
      <c r="E339" s="116" t="s">
        <v>41</v>
      </c>
      <c r="F339" s="118">
        <v>45656</v>
      </c>
      <c r="G339" s="118">
        <v>46022</v>
      </c>
      <c r="H339" s="46" t="s">
        <v>38</v>
      </c>
      <c r="I339" s="119">
        <v>4955.79</v>
      </c>
      <c r="J339" s="46" t="s">
        <v>20</v>
      </c>
      <c r="K339" s="112">
        <v>267.01</v>
      </c>
      <c r="L339" s="46" t="s">
        <v>39</v>
      </c>
      <c r="M339" s="112"/>
      <c r="N339" s="44"/>
      <c r="O339" s="44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  <c r="DF339" s="20"/>
      <c r="DG339" s="20"/>
      <c r="DH339" s="20"/>
      <c r="DI339" s="20"/>
      <c r="DJ339" s="20"/>
      <c r="DK339" s="20"/>
      <c r="DL339" s="20"/>
      <c r="DM339" s="20"/>
      <c r="DN339" s="20"/>
      <c r="DO339" s="20"/>
      <c r="DP339" s="20"/>
      <c r="DQ339" s="20"/>
      <c r="DR339" s="20"/>
      <c r="DS339" s="20"/>
      <c r="DT339" s="20"/>
      <c r="DU339" s="20"/>
      <c r="DV339" s="20"/>
      <c r="DW339" s="20"/>
      <c r="DX339" s="20"/>
      <c r="DY339" s="20"/>
      <c r="DZ339" s="20"/>
      <c r="EA339" s="20"/>
      <c r="EB339" s="20"/>
      <c r="EC339" s="20"/>
      <c r="ED339" s="20"/>
      <c r="EE339" s="20"/>
      <c r="EF339" s="20"/>
      <c r="EG339" s="20"/>
      <c r="EH339" s="20"/>
      <c r="EI339" s="20"/>
      <c r="EJ339" s="20"/>
      <c r="EK339" s="20"/>
      <c r="EL339" s="20"/>
      <c r="EM339" s="20"/>
      <c r="EN339" s="20"/>
      <c r="EO339" s="20"/>
      <c r="EP339" s="20"/>
      <c r="EQ339" s="20"/>
      <c r="ER339" s="20"/>
      <c r="ES339" s="20"/>
      <c r="ET339" s="20"/>
      <c r="EU339" s="20"/>
      <c r="EV339" s="20"/>
      <c r="EW339" s="20"/>
      <c r="EX339" s="20"/>
      <c r="EY339" s="20"/>
      <c r="EZ339" s="20"/>
      <c r="FA339" s="20"/>
      <c r="FB339" s="20"/>
      <c r="FC339" s="20"/>
      <c r="FD339" s="20"/>
      <c r="FE339" s="20"/>
      <c r="FF339" s="20"/>
      <c r="FG339" s="20"/>
      <c r="FH339" s="20"/>
      <c r="FI339" s="20"/>
      <c r="FJ339" s="20"/>
      <c r="FK339" s="20"/>
      <c r="FL339" s="20"/>
      <c r="FM339" s="20"/>
      <c r="FN339" s="20"/>
      <c r="FO339" s="20"/>
      <c r="FP339" s="20"/>
      <c r="FQ339" s="20"/>
      <c r="FR339" s="20"/>
      <c r="FS339" s="20"/>
      <c r="FT339" s="20"/>
      <c r="FU339" s="20"/>
      <c r="FV339" s="20"/>
      <c r="FW339" s="20"/>
      <c r="FX339" s="20"/>
      <c r="FY339" s="20"/>
      <c r="FZ339" s="20"/>
      <c r="GA339" s="20"/>
      <c r="GB339" s="20"/>
      <c r="GC339" s="20"/>
      <c r="GD339" s="20"/>
      <c r="GE339" s="20"/>
      <c r="GF339" s="20"/>
      <c r="GG339" s="20"/>
      <c r="GH339" s="20"/>
      <c r="GI339" s="20"/>
      <c r="GJ339" s="20"/>
      <c r="GK339" s="20"/>
      <c r="GL339" s="20"/>
      <c r="GM339" s="20"/>
      <c r="GN339" s="20"/>
      <c r="GO339" s="20"/>
      <c r="GP339" s="20"/>
      <c r="GQ339" s="20"/>
      <c r="GR339" s="20"/>
      <c r="GS339" s="20"/>
      <c r="GT339" s="20"/>
      <c r="GU339" s="20"/>
      <c r="GV339" s="20"/>
      <c r="GW339" s="20"/>
      <c r="GX339" s="20"/>
      <c r="GY339" s="20"/>
      <c r="GZ339" s="20"/>
      <c r="HA339" s="20"/>
      <c r="HB339" s="20"/>
      <c r="HC339" s="20"/>
      <c r="HD339" s="20"/>
      <c r="HE339" s="20"/>
      <c r="HF339" s="20"/>
      <c r="HG339" s="20"/>
      <c r="HH339" s="20"/>
      <c r="HI339" s="20"/>
      <c r="HJ339" s="20"/>
      <c r="HK339" s="20"/>
      <c r="HL339" s="20"/>
      <c r="HM339" s="20"/>
      <c r="HN339" s="20"/>
      <c r="HO339" s="20"/>
      <c r="HP339" s="20"/>
      <c r="HQ339" s="20"/>
      <c r="HR339" s="20"/>
    </row>
    <row r="340" spans="1:226" s="100" customFormat="1" x14ac:dyDescent="0.2">
      <c r="A340" s="37" t="s">
        <v>321</v>
      </c>
      <c r="B340" s="36">
        <v>30229806572</v>
      </c>
      <c r="C340" s="36">
        <v>5352212019</v>
      </c>
      <c r="D340" s="36" t="s">
        <v>27</v>
      </c>
      <c r="E340" s="36">
        <v>301000100618291</v>
      </c>
      <c r="F340" s="38">
        <v>45465</v>
      </c>
      <c r="G340" s="38">
        <v>45840</v>
      </c>
      <c r="H340" s="37" t="s">
        <v>322</v>
      </c>
      <c r="I340" s="43">
        <v>4942.5200000000004</v>
      </c>
      <c r="J340" s="36" t="s">
        <v>19</v>
      </c>
      <c r="K340" s="37">
        <v>444.24</v>
      </c>
      <c r="L340" s="37" t="s">
        <v>323</v>
      </c>
      <c r="M340" s="36" t="s">
        <v>25</v>
      </c>
      <c r="N340" s="20" t="s">
        <v>328</v>
      </c>
      <c r="O340" s="34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</row>
    <row r="341" spans="1:226" x14ac:dyDescent="0.2">
      <c r="A341" s="65" t="s">
        <v>450</v>
      </c>
      <c r="B341" s="67">
        <v>6211022844</v>
      </c>
      <c r="C341" s="67"/>
      <c r="D341" s="65" t="s">
        <v>31</v>
      </c>
      <c r="E341" s="121">
        <v>874918842</v>
      </c>
      <c r="F341" s="68">
        <v>45912</v>
      </c>
      <c r="G341" s="68">
        <v>45995</v>
      </c>
      <c r="H341" s="65" t="s">
        <v>445</v>
      </c>
      <c r="I341" s="69">
        <v>4918</v>
      </c>
      <c r="J341" s="65" t="s">
        <v>237</v>
      </c>
      <c r="K341" s="86">
        <v>374.69</v>
      </c>
      <c r="L341" s="65" t="s">
        <v>951</v>
      </c>
      <c r="M341" s="37" t="s">
        <v>752</v>
      </c>
      <c r="N341" s="70" t="s">
        <v>952</v>
      </c>
      <c r="O341" s="70"/>
    </row>
    <row r="342" spans="1:226" x14ac:dyDescent="0.2">
      <c r="A342" s="22" t="s">
        <v>43</v>
      </c>
      <c r="B342" s="23">
        <v>62323222248</v>
      </c>
      <c r="C342" s="23"/>
      <c r="D342" s="22" t="s">
        <v>31</v>
      </c>
      <c r="E342" s="23">
        <v>367082929</v>
      </c>
      <c r="F342" s="24">
        <v>45381</v>
      </c>
      <c r="G342" s="24"/>
      <c r="H342" s="22" t="s">
        <v>464</v>
      </c>
      <c r="I342" s="52">
        <v>4705.0600000000004</v>
      </c>
      <c r="J342" s="22" t="s">
        <v>44</v>
      </c>
      <c r="K342" s="66">
        <f>747.05*0.6</f>
        <v>448.22999999999996</v>
      </c>
      <c r="L342" s="22" t="s">
        <v>467</v>
      </c>
      <c r="M342" s="22" t="s">
        <v>59</v>
      </c>
    </row>
    <row r="343" spans="1:226" s="122" customFormat="1" x14ac:dyDescent="0.2">
      <c r="A343" s="22" t="s">
        <v>268</v>
      </c>
      <c r="B343" s="23">
        <v>39502466656</v>
      </c>
      <c r="C343" s="23">
        <v>5425667787</v>
      </c>
      <c r="D343" s="22" t="s">
        <v>27</v>
      </c>
      <c r="E343" s="23">
        <v>298295370</v>
      </c>
      <c r="F343" s="24">
        <v>45441</v>
      </c>
      <c r="G343" s="24">
        <v>45812</v>
      </c>
      <c r="H343" s="22" t="s">
        <v>271</v>
      </c>
      <c r="I343" s="52">
        <v>4687.1400000000003</v>
      </c>
      <c r="J343" s="22" t="s">
        <v>44</v>
      </c>
      <c r="K343" s="22">
        <f>421.28*0.6</f>
        <v>252.76799999999997</v>
      </c>
      <c r="L343" s="22" t="s">
        <v>270</v>
      </c>
      <c r="M343" s="22" t="s">
        <v>81</v>
      </c>
      <c r="N343" s="20" t="s">
        <v>269</v>
      </c>
      <c r="O343" s="20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/>
      <c r="AT343" s="79"/>
      <c r="AU343" s="79"/>
      <c r="AV343" s="79"/>
      <c r="AW343" s="79"/>
      <c r="AX343" s="79"/>
      <c r="AY343" s="79"/>
      <c r="AZ343" s="79"/>
      <c r="BA343" s="79"/>
      <c r="BB343" s="79"/>
      <c r="BC343" s="79"/>
      <c r="BD343" s="79"/>
      <c r="BE343" s="79"/>
    </row>
    <row r="344" spans="1:226" s="28" customFormat="1" x14ac:dyDescent="0.2">
      <c r="A344" s="22" t="s">
        <v>199</v>
      </c>
      <c r="B344" s="23">
        <v>29872545068</v>
      </c>
      <c r="C344" s="23"/>
      <c r="D344" s="22" t="s">
        <v>27</v>
      </c>
      <c r="E344" s="23">
        <v>1155840024</v>
      </c>
      <c r="F344" s="24">
        <v>45380</v>
      </c>
      <c r="G344" s="24"/>
      <c r="H344" s="22" t="s">
        <v>200</v>
      </c>
      <c r="I344" s="52">
        <v>4198.45</v>
      </c>
      <c r="J344" s="22" t="s">
        <v>19</v>
      </c>
      <c r="K344" s="66">
        <v>224.92</v>
      </c>
      <c r="L344" s="22" t="s">
        <v>201</v>
      </c>
      <c r="M344" s="22" t="s">
        <v>140</v>
      </c>
      <c r="N344" s="20" t="s">
        <v>210</v>
      </c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</row>
    <row r="345" spans="1:226" s="21" customFormat="1" x14ac:dyDescent="0.2">
      <c r="A345" s="37" t="s">
        <v>450</v>
      </c>
      <c r="B345" s="36">
        <v>6211022844</v>
      </c>
      <c r="C345" s="36"/>
      <c r="D345" s="37" t="s">
        <v>303</v>
      </c>
      <c r="E345" s="36" t="s">
        <v>866</v>
      </c>
      <c r="F345" s="38">
        <v>45831</v>
      </c>
      <c r="G345" s="38">
        <v>45831</v>
      </c>
      <c r="H345" s="37"/>
      <c r="I345" s="43">
        <v>4197.76</v>
      </c>
      <c r="J345" s="37" t="s">
        <v>20</v>
      </c>
      <c r="K345" s="37">
        <v>671.64</v>
      </c>
      <c r="L345" s="37"/>
      <c r="M345" s="37" t="s">
        <v>752</v>
      </c>
      <c r="N345" s="28"/>
      <c r="O345" s="28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</row>
    <row r="346" spans="1:226" x14ac:dyDescent="0.2">
      <c r="A346" s="37" t="s">
        <v>367</v>
      </c>
      <c r="B346" s="36">
        <v>28067366198</v>
      </c>
      <c r="C346" s="36">
        <v>5324012051</v>
      </c>
      <c r="D346" s="37" t="s">
        <v>104</v>
      </c>
      <c r="E346" s="36">
        <v>201000000658529</v>
      </c>
      <c r="F346" s="38">
        <v>45483</v>
      </c>
      <c r="G346" s="38">
        <v>45855</v>
      </c>
      <c r="H346" s="37"/>
      <c r="I346" s="43">
        <v>4068.45</v>
      </c>
      <c r="J346" s="37" t="s">
        <v>44</v>
      </c>
      <c r="K346" s="37">
        <v>771.94</v>
      </c>
      <c r="L346" s="37"/>
      <c r="M346" s="37" t="s">
        <v>25</v>
      </c>
      <c r="N346" s="20" t="s">
        <v>865</v>
      </c>
    </row>
    <row r="347" spans="1:226" s="64" customFormat="1" x14ac:dyDescent="0.2">
      <c r="A347" s="37" t="s">
        <v>352</v>
      </c>
      <c r="B347" s="36">
        <v>38581298790</v>
      </c>
      <c r="C347" s="36">
        <v>5324280877</v>
      </c>
      <c r="D347" s="37" t="s">
        <v>104</v>
      </c>
      <c r="E347" s="36">
        <v>201000002328652</v>
      </c>
      <c r="F347" s="68">
        <v>45729</v>
      </c>
      <c r="G347" s="68">
        <v>45729</v>
      </c>
      <c r="H347" s="37"/>
      <c r="I347" s="90">
        <v>3999.24</v>
      </c>
      <c r="J347" s="36" t="s">
        <v>19</v>
      </c>
      <c r="K347" s="37">
        <v>758.61</v>
      </c>
      <c r="L347" s="37"/>
      <c r="M347" s="37" t="s">
        <v>25</v>
      </c>
      <c r="N347" s="20" t="s">
        <v>728</v>
      </c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/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/>
      <c r="DX347" s="20"/>
      <c r="DY347" s="20"/>
      <c r="DZ347" s="20"/>
      <c r="EA347" s="20"/>
      <c r="EB347" s="20"/>
      <c r="EC347" s="20"/>
      <c r="ED347" s="20"/>
      <c r="EE347" s="20"/>
      <c r="EF347" s="20"/>
      <c r="EG347" s="20"/>
      <c r="EH347" s="20"/>
      <c r="EI347" s="20"/>
      <c r="EJ347" s="20"/>
      <c r="EK347" s="20"/>
      <c r="EL347" s="20"/>
      <c r="EM347" s="20"/>
      <c r="EN347" s="20"/>
      <c r="EO347" s="20"/>
      <c r="EP347" s="20"/>
      <c r="EQ347" s="20"/>
      <c r="ER347" s="20"/>
      <c r="ES347" s="20"/>
      <c r="ET347" s="20"/>
      <c r="EU347" s="20"/>
      <c r="EV347" s="20"/>
      <c r="EW347" s="20"/>
      <c r="EX347" s="20"/>
      <c r="EY347" s="20"/>
      <c r="EZ347" s="20"/>
      <c r="FA347" s="20"/>
      <c r="FB347" s="20"/>
      <c r="FC347" s="20"/>
      <c r="FD347" s="20"/>
      <c r="FE347" s="20"/>
      <c r="FF347" s="20"/>
      <c r="FG347" s="20"/>
      <c r="FH347" s="20"/>
      <c r="FI347" s="20"/>
      <c r="FJ347" s="20"/>
      <c r="FK347" s="20"/>
      <c r="FL347" s="20"/>
      <c r="FM347" s="20"/>
      <c r="FN347" s="20"/>
      <c r="FO347" s="20"/>
      <c r="FP347" s="20"/>
      <c r="FQ347" s="20"/>
      <c r="FR347" s="20"/>
      <c r="FS347" s="20"/>
      <c r="FT347" s="20"/>
      <c r="FU347" s="20"/>
      <c r="FV347" s="20"/>
      <c r="FW347" s="20"/>
      <c r="FX347" s="20"/>
      <c r="FY347" s="20"/>
      <c r="FZ347" s="20"/>
      <c r="GA347" s="20"/>
      <c r="GB347" s="20"/>
      <c r="GC347" s="20"/>
      <c r="GD347" s="20"/>
      <c r="GE347" s="20"/>
      <c r="GF347" s="20"/>
      <c r="GG347" s="20"/>
      <c r="GH347" s="20"/>
      <c r="GI347" s="20"/>
      <c r="GJ347" s="20"/>
      <c r="GK347" s="20"/>
      <c r="GL347" s="20"/>
      <c r="GM347" s="20"/>
      <c r="GN347" s="20"/>
      <c r="GO347" s="20"/>
      <c r="GP347" s="20"/>
      <c r="GQ347" s="20"/>
      <c r="GR347" s="20"/>
      <c r="GS347" s="20"/>
      <c r="GT347" s="20"/>
      <c r="GU347" s="20"/>
      <c r="GV347" s="20"/>
      <c r="GW347" s="20"/>
      <c r="GX347" s="20"/>
      <c r="GY347" s="20"/>
      <c r="GZ347" s="20"/>
      <c r="HA347" s="20"/>
      <c r="HB347" s="20"/>
      <c r="HC347" s="20"/>
      <c r="HD347" s="20"/>
      <c r="HE347" s="20"/>
      <c r="HF347" s="20"/>
      <c r="HG347" s="20"/>
      <c r="HH347" s="20"/>
      <c r="HI347" s="20"/>
      <c r="HJ347" s="20"/>
      <c r="HK347" s="20"/>
      <c r="HL347" s="20"/>
      <c r="HM347" s="20"/>
      <c r="HN347" s="20"/>
      <c r="HO347" s="20"/>
      <c r="HP347" s="20"/>
      <c r="HQ347" s="20"/>
      <c r="HR347" s="20"/>
    </row>
    <row r="348" spans="1:226" s="28" customFormat="1" x14ac:dyDescent="0.2">
      <c r="A348" s="37" t="s">
        <v>275</v>
      </c>
      <c r="B348" s="36">
        <v>21040245558</v>
      </c>
      <c r="C348" s="36"/>
      <c r="D348" s="37" t="s">
        <v>373</v>
      </c>
      <c r="E348" s="36">
        <v>600000000850229</v>
      </c>
      <c r="F348" s="38">
        <v>45509</v>
      </c>
      <c r="G348" s="38">
        <v>45538</v>
      </c>
      <c r="H348" s="37"/>
      <c r="I348" s="43">
        <v>3762.9</v>
      </c>
      <c r="J348" s="37" t="s">
        <v>19</v>
      </c>
      <c r="K348" s="37">
        <v>1881.45</v>
      </c>
      <c r="L348" s="37"/>
      <c r="M348" s="37" t="s">
        <v>25</v>
      </c>
      <c r="N348" s="20"/>
      <c r="O348" s="20"/>
    </row>
    <row r="349" spans="1:226" s="21" customFormat="1" x14ac:dyDescent="0.2">
      <c r="A349" s="37" t="s">
        <v>231</v>
      </c>
      <c r="B349" s="36">
        <v>17210963582</v>
      </c>
      <c r="C349" s="36"/>
      <c r="D349" s="37" t="s">
        <v>27</v>
      </c>
      <c r="E349" s="36">
        <v>120090670</v>
      </c>
      <c r="F349" s="38">
        <v>45414</v>
      </c>
      <c r="G349" s="38">
        <v>45782</v>
      </c>
      <c r="H349" s="37" t="s">
        <v>229</v>
      </c>
      <c r="I349" s="43">
        <v>3674.93</v>
      </c>
      <c r="J349" s="37" t="s">
        <v>44</v>
      </c>
      <c r="K349" s="37">
        <v>328.13</v>
      </c>
      <c r="L349" s="37" t="s">
        <v>230</v>
      </c>
      <c r="M349" s="37" t="s">
        <v>190</v>
      </c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0"/>
      <c r="DU349" s="20"/>
      <c r="DV349" s="20"/>
      <c r="DW349" s="20"/>
      <c r="DX349" s="20"/>
      <c r="DY349" s="20"/>
      <c r="DZ349" s="20"/>
      <c r="EA349" s="20"/>
      <c r="EB349" s="20"/>
      <c r="EC349" s="20"/>
      <c r="ED349" s="20"/>
      <c r="EE349" s="20"/>
      <c r="EF349" s="20"/>
      <c r="EG349" s="20"/>
      <c r="EH349" s="20"/>
      <c r="EI349" s="20"/>
      <c r="EJ349" s="20"/>
      <c r="EK349" s="20"/>
      <c r="EL349" s="20"/>
      <c r="EM349" s="20"/>
      <c r="EN349" s="20"/>
      <c r="EO349" s="20"/>
      <c r="EP349" s="20"/>
      <c r="EQ349" s="20"/>
      <c r="ER349" s="20"/>
      <c r="ES349" s="20"/>
      <c r="ET349" s="20"/>
      <c r="EU349" s="20"/>
      <c r="EV349" s="20"/>
      <c r="EW349" s="20"/>
      <c r="EX349" s="20"/>
      <c r="EY349" s="20"/>
      <c r="EZ349" s="20"/>
      <c r="FA349" s="20"/>
      <c r="FB349" s="20"/>
      <c r="FC349" s="20"/>
      <c r="FD349" s="20"/>
      <c r="FE349" s="20"/>
      <c r="FF349" s="20"/>
      <c r="FG349" s="20"/>
      <c r="FH349" s="20"/>
      <c r="FI349" s="20"/>
      <c r="FJ349" s="20"/>
      <c r="FK349" s="20"/>
      <c r="FL349" s="20"/>
      <c r="FM349" s="20"/>
      <c r="FN349" s="20"/>
      <c r="FO349" s="20"/>
      <c r="FP349" s="20"/>
      <c r="FQ349" s="20"/>
      <c r="FR349" s="20"/>
      <c r="FS349" s="20"/>
      <c r="FT349" s="20"/>
      <c r="FU349" s="20"/>
      <c r="FV349" s="20"/>
      <c r="FW349" s="20"/>
      <c r="FX349" s="20"/>
      <c r="FY349" s="20"/>
      <c r="FZ349" s="20"/>
      <c r="GA349" s="20"/>
      <c r="GB349" s="20"/>
      <c r="GC349" s="20"/>
      <c r="GD349" s="20"/>
      <c r="GE349" s="20"/>
      <c r="GF349" s="20"/>
      <c r="GG349" s="20"/>
      <c r="GH349" s="20"/>
      <c r="GI349" s="20"/>
      <c r="GJ349" s="20"/>
      <c r="GK349" s="20"/>
      <c r="GL349" s="20"/>
      <c r="GM349" s="20"/>
      <c r="GN349" s="20"/>
      <c r="GO349" s="20"/>
      <c r="GP349" s="20"/>
      <c r="GQ349" s="20"/>
      <c r="GR349" s="20"/>
      <c r="GS349" s="20"/>
      <c r="GT349" s="20"/>
      <c r="GU349" s="20"/>
      <c r="GV349" s="20"/>
      <c r="GW349" s="20"/>
      <c r="GX349" s="20"/>
      <c r="GY349" s="20"/>
      <c r="GZ349" s="20"/>
      <c r="HA349" s="20"/>
      <c r="HB349" s="20"/>
      <c r="HC349" s="20"/>
      <c r="HD349" s="20"/>
      <c r="HE349" s="20"/>
      <c r="HF349" s="20"/>
      <c r="HG349" s="20"/>
      <c r="HH349" s="20"/>
      <c r="HI349" s="20"/>
      <c r="HJ349" s="20"/>
      <c r="HK349" s="20"/>
      <c r="HL349" s="20"/>
      <c r="HM349" s="20"/>
      <c r="HN349" s="20"/>
      <c r="HO349" s="20"/>
      <c r="HP349" s="20"/>
      <c r="HQ349" s="20"/>
      <c r="HR349" s="20"/>
    </row>
    <row r="350" spans="1:226" s="100" customFormat="1" x14ac:dyDescent="0.2">
      <c r="A350" s="37" t="s">
        <v>102</v>
      </c>
      <c r="B350" s="36">
        <v>18164569752</v>
      </c>
      <c r="C350" s="36"/>
      <c r="D350" s="37" t="s">
        <v>27</v>
      </c>
      <c r="E350" s="36">
        <v>859354984</v>
      </c>
      <c r="F350" s="38">
        <v>45859</v>
      </c>
      <c r="G350" s="38">
        <v>45859</v>
      </c>
      <c r="H350" s="37" t="s">
        <v>357</v>
      </c>
      <c r="I350" s="43">
        <v>3412.49</v>
      </c>
      <c r="J350" s="36" t="s">
        <v>20</v>
      </c>
      <c r="K350" s="37">
        <v>304.66000000000003</v>
      </c>
      <c r="L350" s="37" t="s">
        <v>378</v>
      </c>
      <c r="M350" s="37" t="s">
        <v>752</v>
      </c>
      <c r="N350" s="50">
        <v>31763</v>
      </c>
      <c r="O350" s="28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</row>
    <row r="351" spans="1:226" s="100" customFormat="1" x14ac:dyDescent="0.2">
      <c r="A351" s="22" t="s">
        <v>89</v>
      </c>
      <c r="B351" s="23">
        <v>19750026550</v>
      </c>
      <c r="C351" s="23"/>
      <c r="D351" s="22" t="s">
        <v>326</v>
      </c>
      <c r="E351" s="23">
        <v>459355196</v>
      </c>
      <c r="F351" s="24">
        <v>45307</v>
      </c>
      <c r="G351" s="24"/>
      <c r="H351" s="22"/>
      <c r="I351" s="52">
        <v>3282</v>
      </c>
      <c r="J351" s="22" t="s">
        <v>44</v>
      </c>
      <c r="K351" s="22" t="s">
        <v>93</v>
      </c>
      <c r="L351" s="22"/>
      <c r="M351" s="22" t="s">
        <v>90</v>
      </c>
      <c r="N351" s="20" t="s">
        <v>91</v>
      </c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</row>
    <row r="352" spans="1:226" s="28" customFormat="1" x14ac:dyDescent="0.2">
      <c r="A352" s="46" t="s">
        <v>26</v>
      </c>
      <c r="B352" s="47">
        <v>4811196831</v>
      </c>
      <c r="C352" s="47"/>
      <c r="D352" s="46" t="s">
        <v>303</v>
      </c>
      <c r="E352" s="47" t="s">
        <v>682</v>
      </c>
      <c r="F352" s="48"/>
      <c r="G352" s="48">
        <v>45694</v>
      </c>
      <c r="H352" s="47"/>
      <c r="I352" s="49">
        <v>3271.32</v>
      </c>
      <c r="J352" s="46" t="s">
        <v>20</v>
      </c>
      <c r="K352" s="46">
        <v>507.05</v>
      </c>
      <c r="L352" s="46"/>
      <c r="M352" s="46" t="s">
        <v>47</v>
      </c>
      <c r="N352" s="123"/>
      <c r="O352" s="20"/>
    </row>
    <row r="353" spans="1:15" s="110" customFormat="1" x14ac:dyDescent="0.2">
      <c r="A353" s="37" t="s">
        <v>880</v>
      </c>
      <c r="B353" s="36">
        <v>34318636958</v>
      </c>
      <c r="C353" s="36"/>
      <c r="D353" s="37" t="s">
        <v>27</v>
      </c>
      <c r="E353" s="36">
        <v>125539501</v>
      </c>
      <c r="F353" s="38">
        <v>45841</v>
      </c>
      <c r="G353" s="38">
        <v>45848</v>
      </c>
      <c r="H353" s="63" t="s">
        <v>882</v>
      </c>
      <c r="I353" s="43">
        <v>3248.03</v>
      </c>
      <c r="J353" s="37" t="s">
        <v>44</v>
      </c>
      <c r="K353" s="37">
        <v>291.93</v>
      </c>
      <c r="L353" s="37" t="s">
        <v>883</v>
      </c>
      <c r="M353" s="37" t="s">
        <v>22</v>
      </c>
      <c r="N353" s="50" t="s">
        <v>881</v>
      </c>
      <c r="O353" s="28"/>
    </row>
    <row r="354" spans="1:15" s="70" customFormat="1" x14ac:dyDescent="0.2">
      <c r="A354" s="37" t="s">
        <v>556</v>
      </c>
      <c r="B354" s="36">
        <v>14819496664</v>
      </c>
      <c r="C354" s="36"/>
      <c r="D354" s="37" t="s">
        <v>303</v>
      </c>
      <c r="E354" s="36" t="s">
        <v>558</v>
      </c>
      <c r="F354" s="38">
        <v>45635</v>
      </c>
      <c r="G354" s="38">
        <v>46000</v>
      </c>
      <c r="H354" s="37"/>
      <c r="I354" s="43">
        <v>3236.93</v>
      </c>
      <c r="J354" s="37" t="s">
        <v>44</v>
      </c>
      <c r="K354" s="37">
        <v>501.72</v>
      </c>
      <c r="L354" s="37"/>
      <c r="M354" s="37" t="s">
        <v>22</v>
      </c>
      <c r="N354" s="20" t="s">
        <v>557</v>
      </c>
      <c r="O354" s="20"/>
    </row>
    <row r="355" spans="1:15" s="45" customFormat="1" x14ac:dyDescent="0.2">
      <c r="A355" s="37" t="s">
        <v>556</v>
      </c>
      <c r="B355" s="36">
        <v>14819496664</v>
      </c>
      <c r="C355" s="36"/>
      <c r="D355" s="37" t="s">
        <v>303</v>
      </c>
      <c r="E355" s="36" t="s">
        <v>558</v>
      </c>
      <c r="F355" s="38">
        <v>45635</v>
      </c>
      <c r="G355" s="38">
        <v>46000</v>
      </c>
      <c r="H355" s="37"/>
      <c r="I355" s="43">
        <v>3236.93</v>
      </c>
      <c r="J355" s="37" t="s">
        <v>44</v>
      </c>
      <c r="K355" s="37">
        <v>501.72</v>
      </c>
      <c r="L355" s="37"/>
      <c r="M355" s="37" t="s">
        <v>22</v>
      </c>
      <c r="N355" s="20" t="s">
        <v>557</v>
      </c>
      <c r="O355" s="20"/>
    </row>
    <row r="356" spans="1:15" s="28" customFormat="1" x14ac:dyDescent="0.2">
      <c r="A356" s="37" t="s">
        <v>304</v>
      </c>
      <c r="B356" s="36">
        <v>6141309416</v>
      </c>
      <c r="C356" s="36">
        <v>5416905144</v>
      </c>
      <c r="D356" s="36" t="s">
        <v>303</v>
      </c>
      <c r="E356" s="36" t="s">
        <v>826</v>
      </c>
      <c r="F356" s="38">
        <v>45453</v>
      </c>
      <c r="G356" s="38">
        <v>45818</v>
      </c>
      <c r="H356" s="37"/>
      <c r="I356" s="43">
        <v>3141.69</v>
      </c>
      <c r="J356" s="36" t="s">
        <v>19</v>
      </c>
      <c r="K356" s="37">
        <v>628.34</v>
      </c>
      <c r="L356" s="37" t="s">
        <v>305</v>
      </c>
      <c r="M356" s="36" t="s">
        <v>25</v>
      </c>
      <c r="N356" s="20" t="s">
        <v>825</v>
      </c>
      <c r="O356" s="20"/>
    </row>
    <row r="357" spans="1:15" s="28" customFormat="1" x14ac:dyDescent="0.2">
      <c r="A357" s="37" t="s">
        <v>259</v>
      </c>
      <c r="B357" s="36">
        <v>21082244182</v>
      </c>
      <c r="C357" s="36"/>
      <c r="D357" s="37" t="s">
        <v>104</v>
      </c>
      <c r="E357" s="36">
        <v>15463793</v>
      </c>
      <c r="F357" s="38">
        <v>45441</v>
      </c>
      <c r="G357" s="38">
        <v>45806</v>
      </c>
      <c r="H357" s="37"/>
      <c r="I357" s="43">
        <v>3128.71</v>
      </c>
      <c r="J357" s="37" t="s">
        <v>19</v>
      </c>
      <c r="K357" s="37">
        <v>594.78</v>
      </c>
      <c r="L357" s="37"/>
      <c r="M357" s="37" t="s">
        <v>209</v>
      </c>
      <c r="N357" s="20"/>
      <c r="O357" s="20"/>
    </row>
    <row r="358" spans="1:15" s="28" customFormat="1" x14ac:dyDescent="0.2">
      <c r="A358" s="37" t="s">
        <v>804</v>
      </c>
      <c r="B358" s="36">
        <v>57226674560</v>
      </c>
      <c r="C358" s="36"/>
      <c r="D358" s="37" t="s">
        <v>303</v>
      </c>
      <c r="E358" s="36" t="s">
        <v>805</v>
      </c>
      <c r="F358" s="68">
        <v>45777</v>
      </c>
      <c r="G358" s="68">
        <v>45777</v>
      </c>
      <c r="H358" s="37"/>
      <c r="I358" s="43">
        <v>3038.55</v>
      </c>
      <c r="J358" s="37" t="s">
        <v>20</v>
      </c>
      <c r="K358" s="65">
        <v>379.82</v>
      </c>
      <c r="L358" s="37"/>
      <c r="M358" s="37" t="s">
        <v>25</v>
      </c>
    </row>
    <row r="359" spans="1:15" s="28" customFormat="1" x14ac:dyDescent="0.2">
      <c r="A359" s="37" t="s">
        <v>275</v>
      </c>
      <c r="B359" s="36">
        <v>21040245558</v>
      </c>
      <c r="C359" s="36"/>
      <c r="D359" s="37" t="s">
        <v>303</v>
      </c>
      <c r="E359" s="36" t="s">
        <v>957</v>
      </c>
      <c r="F359" s="38">
        <v>45931</v>
      </c>
      <c r="G359" s="38">
        <v>45931</v>
      </c>
      <c r="H359" s="38"/>
      <c r="I359" s="43">
        <v>3034.64</v>
      </c>
      <c r="J359" s="37" t="s">
        <v>19</v>
      </c>
      <c r="K359" s="37">
        <v>606.92999999999995</v>
      </c>
      <c r="L359" s="37"/>
      <c r="M359" s="37" t="s">
        <v>25</v>
      </c>
      <c r="N359" s="20"/>
      <c r="O359" s="20"/>
    </row>
    <row r="360" spans="1:15" s="28" customFormat="1" x14ac:dyDescent="0.2">
      <c r="A360" s="37" t="s">
        <v>304</v>
      </c>
      <c r="B360" s="36">
        <v>6141309416</v>
      </c>
      <c r="C360" s="36"/>
      <c r="D360" s="36" t="s">
        <v>303</v>
      </c>
      <c r="E360" s="36" t="s">
        <v>306</v>
      </c>
      <c r="F360" s="38">
        <v>45453</v>
      </c>
      <c r="G360" s="38">
        <v>45818</v>
      </c>
      <c r="H360" s="37"/>
      <c r="I360" s="43">
        <v>3000.93</v>
      </c>
      <c r="J360" s="36" t="s">
        <v>19</v>
      </c>
      <c r="K360" s="37">
        <v>450.14</v>
      </c>
      <c r="L360" s="37" t="s">
        <v>305</v>
      </c>
      <c r="M360" s="36" t="s">
        <v>209</v>
      </c>
      <c r="N360" s="20"/>
      <c r="O360" s="34"/>
    </row>
    <row r="361" spans="1:15" s="28" customFormat="1" x14ac:dyDescent="0.2">
      <c r="A361" s="37" t="s">
        <v>52</v>
      </c>
      <c r="B361" s="36">
        <v>24368358672</v>
      </c>
      <c r="C361" s="36"/>
      <c r="D361" s="37" t="s">
        <v>104</v>
      </c>
      <c r="E361" s="36">
        <v>201000000010559</v>
      </c>
      <c r="F361" s="38">
        <v>45322</v>
      </c>
      <c r="G361" s="38"/>
      <c r="H361" s="36"/>
      <c r="I361" s="43">
        <v>2955.79</v>
      </c>
      <c r="J361" s="37" t="s">
        <v>105</v>
      </c>
      <c r="K361" s="37">
        <v>533.59</v>
      </c>
      <c r="L361" s="37"/>
      <c r="M361" s="37" t="s">
        <v>15</v>
      </c>
      <c r="N361" s="20"/>
      <c r="O361" s="20"/>
    </row>
    <row r="362" spans="1:15" s="21" customFormat="1" x14ac:dyDescent="0.2">
      <c r="A362" s="37" t="s">
        <v>275</v>
      </c>
      <c r="B362" s="36">
        <v>21040245558</v>
      </c>
      <c r="C362" s="36"/>
      <c r="D362" s="37" t="s">
        <v>303</v>
      </c>
      <c r="E362" s="36" t="s">
        <v>469</v>
      </c>
      <c r="F362" s="38">
        <v>45566</v>
      </c>
      <c r="G362" s="38">
        <v>45931</v>
      </c>
      <c r="H362" s="38"/>
      <c r="I362" s="43">
        <v>2837.37</v>
      </c>
      <c r="J362" s="37" t="s">
        <v>19</v>
      </c>
      <c r="K362" s="37">
        <v>452.61</v>
      </c>
      <c r="L362" s="37"/>
      <c r="M362" s="37" t="s">
        <v>209</v>
      </c>
      <c r="N362" s="20"/>
      <c r="O362" s="20"/>
    </row>
    <row r="363" spans="1:15" s="28" customFormat="1" x14ac:dyDescent="0.2">
      <c r="A363" s="37" t="s">
        <v>52</v>
      </c>
      <c r="B363" s="36">
        <v>24368358672</v>
      </c>
      <c r="C363" s="36"/>
      <c r="D363" s="37" t="s">
        <v>303</v>
      </c>
      <c r="E363" s="36">
        <v>201000001984240</v>
      </c>
      <c r="F363" s="38">
        <v>45691</v>
      </c>
      <c r="G363" s="38">
        <v>45691</v>
      </c>
      <c r="H363" s="37"/>
      <c r="I363" s="43">
        <v>2802.92</v>
      </c>
      <c r="J363" s="37" t="s">
        <v>19</v>
      </c>
      <c r="K363" s="37">
        <v>533.88</v>
      </c>
      <c r="L363" s="37"/>
      <c r="M363" s="37" t="s">
        <v>25</v>
      </c>
      <c r="N363" s="20"/>
      <c r="O363" s="20"/>
    </row>
    <row r="364" spans="1:15" x14ac:dyDescent="0.2">
      <c r="A364" s="37" t="s">
        <v>121</v>
      </c>
      <c r="B364" s="36">
        <v>18215568062</v>
      </c>
      <c r="C364" s="36"/>
      <c r="D364" s="37" t="s">
        <v>303</v>
      </c>
      <c r="E364" s="36" t="s">
        <v>122</v>
      </c>
      <c r="F364" s="38">
        <v>45327</v>
      </c>
      <c r="G364" s="38"/>
      <c r="H364" s="36"/>
      <c r="I364" s="43">
        <v>2697.8</v>
      </c>
      <c r="J364" s="37" t="s">
        <v>20</v>
      </c>
      <c r="K364" s="37">
        <v>418.16</v>
      </c>
      <c r="L364" s="37"/>
      <c r="M364" s="37" t="s">
        <v>47</v>
      </c>
      <c r="N364" s="46"/>
    </row>
    <row r="365" spans="1:15" s="28" customFormat="1" x14ac:dyDescent="0.2">
      <c r="A365" s="46" t="s">
        <v>121</v>
      </c>
      <c r="B365" s="47">
        <v>18215568062</v>
      </c>
      <c r="C365" s="47"/>
      <c r="D365" s="46" t="s">
        <v>303</v>
      </c>
      <c r="E365" s="47" t="s">
        <v>683</v>
      </c>
      <c r="F365" s="48"/>
      <c r="G365" s="48">
        <v>45694</v>
      </c>
      <c r="H365" s="47"/>
      <c r="I365" s="49">
        <v>2696.96</v>
      </c>
      <c r="J365" s="46" t="s">
        <v>20</v>
      </c>
      <c r="K365" s="46">
        <v>485.45</v>
      </c>
      <c r="L365" s="46"/>
      <c r="M365" s="46" t="s">
        <v>47</v>
      </c>
      <c r="N365" s="20"/>
      <c r="O365" s="20"/>
    </row>
    <row r="366" spans="1:15" x14ac:dyDescent="0.2">
      <c r="A366" s="65" t="s">
        <v>383</v>
      </c>
      <c r="B366" s="36">
        <v>66253380856</v>
      </c>
      <c r="C366" s="36"/>
      <c r="D366" s="37" t="s">
        <v>303</v>
      </c>
      <c r="E366" s="36" t="s">
        <v>888</v>
      </c>
      <c r="F366" s="38">
        <v>45854</v>
      </c>
      <c r="G366" s="38">
        <v>45857</v>
      </c>
      <c r="H366" s="37"/>
      <c r="I366" s="43">
        <v>2637.87</v>
      </c>
      <c r="J366" s="37" t="s">
        <v>20</v>
      </c>
      <c r="K366" s="37">
        <v>395.68</v>
      </c>
      <c r="L366" s="37"/>
      <c r="M366" s="37" t="s">
        <v>25</v>
      </c>
      <c r="N366" s="50">
        <v>27159</v>
      </c>
      <c r="O366" s="28"/>
    </row>
    <row r="367" spans="1:15" x14ac:dyDescent="0.2">
      <c r="A367" s="37" t="s">
        <v>863</v>
      </c>
      <c r="B367" s="36">
        <v>3961624503</v>
      </c>
      <c r="C367" s="36"/>
      <c r="D367" s="37" t="s">
        <v>189</v>
      </c>
      <c r="E367" s="36">
        <v>848964776</v>
      </c>
      <c r="F367" s="38">
        <v>45831</v>
      </c>
      <c r="G367" s="38">
        <v>45827</v>
      </c>
      <c r="H367" s="37"/>
      <c r="I367" s="43">
        <v>2597.87</v>
      </c>
      <c r="J367" s="37" t="s">
        <v>864</v>
      </c>
      <c r="K367" s="37">
        <v>616.91</v>
      </c>
      <c r="L367" s="37"/>
      <c r="M367" s="37" t="s">
        <v>752</v>
      </c>
      <c r="N367" s="28"/>
      <c r="O367" s="28"/>
    </row>
    <row r="368" spans="1:15" x14ac:dyDescent="0.2">
      <c r="A368" s="37" t="s">
        <v>102</v>
      </c>
      <c r="B368" s="36">
        <v>18164569752</v>
      </c>
      <c r="C368" s="36"/>
      <c r="D368" s="37" t="s">
        <v>27</v>
      </c>
      <c r="E368" s="36">
        <v>114909502</v>
      </c>
      <c r="F368" s="38">
        <v>45707</v>
      </c>
      <c r="G368" s="38">
        <v>45708</v>
      </c>
      <c r="H368" s="37" t="s">
        <v>697</v>
      </c>
      <c r="I368" s="43">
        <v>2525.2399999999998</v>
      </c>
      <c r="J368" s="37" t="s">
        <v>20</v>
      </c>
      <c r="K368" s="37">
        <v>226.96</v>
      </c>
      <c r="L368" s="37" t="s">
        <v>139</v>
      </c>
      <c r="M368" s="37" t="s">
        <v>22</v>
      </c>
    </row>
    <row r="369" spans="1:15" s="21" customFormat="1" x14ac:dyDescent="0.2">
      <c r="A369" s="37" t="s">
        <v>149</v>
      </c>
      <c r="B369" s="36">
        <v>62290223354</v>
      </c>
      <c r="C369" s="36"/>
      <c r="D369" s="37" t="s">
        <v>303</v>
      </c>
      <c r="E369" s="36" t="s">
        <v>708</v>
      </c>
      <c r="F369" s="38">
        <v>45722</v>
      </c>
      <c r="G369" s="38">
        <v>45724</v>
      </c>
      <c r="H369" s="37"/>
      <c r="I369" s="43">
        <v>2397.5500000000002</v>
      </c>
      <c r="J369" s="37" t="s">
        <v>44</v>
      </c>
      <c r="K369" s="37">
        <v>431.56</v>
      </c>
      <c r="L369" s="37"/>
      <c r="M369" s="37" t="s">
        <v>22</v>
      </c>
      <c r="N369" s="20"/>
      <c r="O369" s="20"/>
    </row>
    <row r="370" spans="1:15" s="122" customFormat="1" x14ac:dyDescent="0.2">
      <c r="A370" s="37" t="s">
        <v>383</v>
      </c>
      <c r="B370" s="36">
        <v>66253380856</v>
      </c>
      <c r="C370" s="36"/>
      <c r="D370" s="37" t="s">
        <v>303</v>
      </c>
      <c r="E370" s="36" t="s">
        <v>382</v>
      </c>
      <c r="F370" s="38">
        <v>45492</v>
      </c>
      <c r="G370" s="38">
        <v>45857</v>
      </c>
      <c r="H370" s="37"/>
      <c r="I370" s="43">
        <v>2383.31</v>
      </c>
      <c r="J370" s="37" t="s">
        <v>20</v>
      </c>
      <c r="K370" s="37">
        <v>238.33</v>
      </c>
      <c r="L370" s="37"/>
      <c r="M370" s="37" t="s">
        <v>209</v>
      </c>
      <c r="N370" s="27">
        <v>27159</v>
      </c>
      <c r="O370" s="20"/>
    </row>
    <row r="371" spans="1:15" s="28" customFormat="1" x14ac:dyDescent="0.2">
      <c r="A371" s="37" t="s">
        <v>56</v>
      </c>
      <c r="B371" s="36">
        <v>18242468410</v>
      </c>
      <c r="C371" s="36"/>
      <c r="D371" s="37" t="s">
        <v>303</v>
      </c>
      <c r="E371" s="36" t="s">
        <v>567</v>
      </c>
      <c r="F371" s="38">
        <v>45642</v>
      </c>
      <c r="G371" s="38">
        <v>46007</v>
      </c>
      <c r="H371" s="37"/>
      <c r="I371" s="43">
        <v>2346.77</v>
      </c>
      <c r="J371" s="37" t="s">
        <v>19</v>
      </c>
      <c r="K371" s="37">
        <v>363.75</v>
      </c>
      <c r="L371" s="37"/>
      <c r="M371" s="37" t="s">
        <v>22</v>
      </c>
      <c r="N371" s="20" t="s">
        <v>566</v>
      </c>
      <c r="O371" s="20"/>
    </row>
    <row r="372" spans="1:15" s="28" customFormat="1" x14ac:dyDescent="0.2">
      <c r="A372" s="37" t="s">
        <v>56</v>
      </c>
      <c r="B372" s="36">
        <v>18242468410</v>
      </c>
      <c r="C372" s="36"/>
      <c r="D372" s="37" t="s">
        <v>303</v>
      </c>
      <c r="E372" s="36" t="s">
        <v>567</v>
      </c>
      <c r="F372" s="38">
        <v>45642</v>
      </c>
      <c r="G372" s="38">
        <v>46007</v>
      </c>
      <c r="H372" s="37"/>
      <c r="I372" s="43">
        <v>2346.77</v>
      </c>
      <c r="J372" s="37" t="s">
        <v>19</v>
      </c>
      <c r="K372" s="37">
        <v>363.75</v>
      </c>
      <c r="L372" s="37"/>
      <c r="M372" s="37" t="s">
        <v>22</v>
      </c>
      <c r="N372" s="20" t="s">
        <v>566</v>
      </c>
      <c r="O372" s="20"/>
    </row>
    <row r="373" spans="1:15" s="28" customFormat="1" x14ac:dyDescent="0.2">
      <c r="A373" s="37" t="s">
        <v>478</v>
      </c>
      <c r="B373" s="36">
        <v>69805191504</v>
      </c>
      <c r="C373" s="36"/>
      <c r="D373" s="37" t="s">
        <v>303</v>
      </c>
      <c r="E373" s="36" t="s">
        <v>961</v>
      </c>
      <c r="F373" s="38">
        <v>45571</v>
      </c>
      <c r="G373" s="38">
        <v>45952</v>
      </c>
      <c r="H373" s="37"/>
      <c r="I373" s="43">
        <v>2312.11</v>
      </c>
      <c r="J373" s="37" t="s">
        <v>44</v>
      </c>
      <c r="K373" s="37">
        <v>462.42</v>
      </c>
      <c r="L373" s="37"/>
      <c r="M373" s="37" t="s">
        <v>752</v>
      </c>
    </row>
    <row r="374" spans="1:15" s="28" customFormat="1" x14ac:dyDescent="0.2">
      <c r="A374" s="22" t="s">
        <v>275</v>
      </c>
      <c r="B374" s="23"/>
      <c r="C374" s="23"/>
      <c r="D374" s="22" t="s">
        <v>166</v>
      </c>
      <c r="E374" s="23">
        <v>1563143425</v>
      </c>
      <c r="F374" s="24">
        <v>45962</v>
      </c>
      <c r="G374" s="24">
        <v>45966</v>
      </c>
      <c r="H374" s="22" t="s">
        <v>808</v>
      </c>
      <c r="I374" s="52">
        <v>2293.06</v>
      </c>
      <c r="J374" s="22" t="s">
        <v>19</v>
      </c>
      <c r="K374" s="80">
        <f>218.47*0.6</f>
        <v>131.08199999999999</v>
      </c>
      <c r="L374" s="22"/>
      <c r="M374" s="22" t="s">
        <v>140</v>
      </c>
      <c r="N374" s="21"/>
      <c r="O374" s="21"/>
    </row>
    <row r="375" spans="1:15" s="28" customFormat="1" x14ac:dyDescent="0.2">
      <c r="A375" s="37" t="s">
        <v>23</v>
      </c>
      <c r="B375" s="36">
        <v>26533896866</v>
      </c>
      <c r="C375" s="36"/>
      <c r="D375" s="37" t="s">
        <v>218</v>
      </c>
      <c r="E375" s="36" t="s">
        <v>1001</v>
      </c>
      <c r="F375" s="38">
        <v>45986</v>
      </c>
      <c r="G375" s="38">
        <v>46006</v>
      </c>
      <c r="H375" s="37"/>
      <c r="I375" s="90">
        <v>2283.4699999999998</v>
      </c>
      <c r="J375" s="37" t="s">
        <v>19</v>
      </c>
      <c r="K375" s="37">
        <v>456.69</v>
      </c>
      <c r="L375" s="37"/>
      <c r="M375" s="37" t="s">
        <v>25</v>
      </c>
      <c r="N375" s="27">
        <v>33772</v>
      </c>
      <c r="O375" s="20"/>
    </row>
    <row r="376" spans="1:15" x14ac:dyDescent="0.2">
      <c r="A376" s="13" t="s">
        <v>278</v>
      </c>
      <c r="B376" s="14">
        <v>24347359300</v>
      </c>
      <c r="C376" s="15"/>
      <c r="D376" s="13" t="s">
        <v>303</v>
      </c>
      <c r="E376" s="36" t="s">
        <v>859</v>
      </c>
      <c r="F376" s="17">
        <v>45826</v>
      </c>
      <c r="G376" s="17">
        <v>45838</v>
      </c>
      <c r="H376" s="37"/>
      <c r="I376" s="18">
        <v>2253.35</v>
      </c>
      <c r="J376" s="13" t="s">
        <v>44</v>
      </c>
      <c r="K376" s="14">
        <v>304.2</v>
      </c>
      <c r="L376" s="38"/>
      <c r="M376" s="36" t="s">
        <v>752</v>
      </c>
      <c r="N376" s="124"/>
      <c r="O376" s="34"/>
    </row>
    <row r="377" spans="1:15" x14ac:dyDescent="0.2">
      <c r="A377" s="37" t="s">
        <v>799</v>
      </c>
      <c r="B377" s="36">
        <v>51058081626</v>
      </c>
      <c r="C377" s="36"/>
      <c r="D377" s="37" t="s">
        <v>303</v>
      </c>
      <c r="E377" s="36" t="s">
        <v>978</v>
      </c>
      <c r="F377" s="38">
        <v>45971</v>
      </c>
      <c r="G377" s="38">
        <v>45971</v>
      </c>
      <c r="H377" s="37"/>
      <c r="I377" s="43">
        <v>2246.9</v>
      </c>
      <c r="J377" s="37" t="s">
        <v>44</v>
      </c>
      <c r="K377" s="63">
        <v>415.68</v>
      </c>
      <c r="L377" s="37"/>
      <c r="M377" s="37" t="s">
        <v>752</v>
      </c>
      <c r="N377" s="124"/>
    </row>
    <row r="378" spans="1:15" x14ac:dyDescent="0.2">
      <c r="A378" s="37" t="s">
        <v>102</v>
      </c>
      <c r="B378" s="36">
        <v>18164569752</v>
      </c>
      <c r="C378" s="36"/>
      <c r="D378" s="37" t="s">
        <v>27</v>
      </c>
      <c r="E378" s="36">
        <v>100000258190523</v>
      </c>
      <c r="F378" s="38">
        <v>45482</v>
      </c>
      <c r="G378" s="38">
        <v>45851</v>
      </c>
      <c r="H378" s="37" t="s">
        <v>357</v>
      </c>
      <c r="I378" s="43">
        <v>2206.23</v>
      </c>
      <c r="J378" s="36" t="s">
        <v>20</v>
      </c>
      <c r="K378" s="37">
        <v>198.27</v>
      </c>
      <c r="L378" s="37" t="s">
        <v>378</v>
      </c>
      <c r="M378" s="37" t="s">
        <v>186</v>
      </c>
      <c r="N378" s="124"/>
    </row>
    <row r="379" spans="1:15" x14ac:dyDescent="0.2">
      <c r="A379" s="22" t="s">
        <v>799</v>
      </c>
      <c r="B379" s="23">
        <v>51058081626</v>
      </c>
      <c r="C379" s="23">
        <v>5325525060</v>
      </c>
      <c r="D379" s="22" t="s">
        <v>303</v>
      </c>
      <c r="E379" s="22" t="s">
        <v>800</v>
      </c>
      <c r="F379" s="24">
        <v>45769</v>
      </c>
      <c r="G379" s="24">
        <v>46134</v>
      </c>
      <c r="H379" s="22"/>
      <c r="I379" s="52">
        <v>2110.04</v>
      </c>
      <c r="J379" s="22" t="s">
        <v>44</v>
      </c>
      <c r="K379" s="22">
        <f>263.76*0.6</f>
        <v>158.256</v>
      </c>
      <c r="L379" s="22"/>
      <c r="M379" s="22" t="s">
        <v>140</v>
      </c>
      <c r="N379" s="125"/>
      <c r="O379" s="21"/>
    </row>
    <row r="380" spans="1:15" x14ac:dyDescent="0.2">
      <c r="A380" s="37" t="s">
        <v>406</v>
      </c>
      <c r="B380" s="36">
        <v>56971561088</v>
      </c>
      <c r="C380" s="36"/>
      <c r="D380" s="37" t="s">
        <v>218</v>
      </c>
      <c r="E380" s="36" t="s">
        <v>956</v>
      </c>
      <c r="F380" s="38">
        <v>45924</v>
      </c>
      <c r="G380" s="38">
        <v>45926</v>
      </c>
      <c r="H380" s="37"/>
      <c r="I380" s="43">
        <v>2056.3200000000002</v>
      </c>
      <c r="J380" s="37" t="s">
        <v>44</v>
      </c>
      <c r="K380" s="37">
        <v>411.26</v>
      </c>
      <c r="L380" s="37"/>
      <c r="M380" s="37" t="s">
        <v>25</v>
      </c>
      <c r="N380" s="124"/>
    </row>
    <row r="381" spans="1:15" x14ac:dyDescent="0.2">
      <c r="A381" s="37" t="s">
        <v>259</v>
      </c>
      <c r="B381" s="36">
        <v>21082244182</v>
      </c>
      <c r="C381" s="36"/>
      <c r="D381" s="37" t="s">
        <v>303</v>
      </c>
      <c r="E381" s="36" t="s">
        <v>816</v>
      </c>
      <c r="F381" s="38">
        <v>45799</v>
      </c>
      <c r="G381" s="38">
        <v>45804</v>
      </c>
      <c r="H381" s="37"/>
      <c r="I381" s="43">
        <v>1903.28</v>
      </c>
      <c r="J381" s="37" t="s">
        <v>19</v>
      </c>
      <c r="K381" s="37">
        <v>380.66</v>
      </c>
      <c r="L381" s="38">
        <v>21944</v>
      </c>
      <c r="M381" s="37" t="s">
        <v>25</v>
      </c>
      <c r="N381" s="124"/>
    </row>
    <row r="382" spans="1:15" x14ac:dyDescent="0.2">
      <c r="A382" s="37" t="s">
        <v>149</v>
      </c>
      <c r="B382" s="36">
        <v>62290223354</v>
      </c>
      <c r="C382" s="36"/>
      <c r="D382" s="37" t="s">
        <v>303</v>
      </c>
      <c r="E382" s="36" t="s">
        <v>151</v>
      </c>
      <c r="F382" s="38">
        <v>45359</v>
      </c>
      <c r="G382" s="38"/>
      <c r="H382" s="37"/>
      <c r="I382" s="43">
        <v>1884.98</v>
      </c>
      <c r="J382" s="37" t="s">
        <v>44</v>
      </c>
      <c r="K382" s="37">
        <v>339.28</v>
      </c>
      <c r="L382" s="37"/>
      <c r="M382" s="37" t="s">
        <v>22</v>
      </c>
    </row>
    <row r="383" spans="1:15" s="28" customFormat="1" x14ac:dyDescent="0.2">
      <c r="A383" s="37" t="s">
        <v>511</v>
      </c>
      <c r="B383" s="36">
        <v>21188076632</v>
      </c>
      <c r="C383" s="36"/>
      <c r="D383" s="37" t="s">
        <v>218</v>
      </c>
      <c r="E383" s="36" t="s">
        <v>817</v>
      </c>
      <c r="F383" s="38">
        <v>45799</v>
      </c>
      <c r="G383" s="38">
        <v>45802</v>
      </c>
      <c r="H383" s="37"/>
      <c r="I383" s="43">
        <v>1873.31</v>
      </c>
      <c r="J383" s="37" t="s">
        <v>44</v>
      </c>
      <c r="K383" s="37">
        <v>374</v>
      </c>
      <c r="L383" s="37" t="s">
        <v>626</v>
      </c>
      <c r="M383" s="37" t="s">
        <v>251</v>
      </c>
      <c r="N383" s="28" t="s">
        <v>627</v>
      </c>
    </row>
    <row r="384" spans="1:15" s="28" customFormat="1" x14ac:dyDescent="0.2">
      <c r="A384" s="37" t="s">
        <v>281</v>
      </c>
      <c r="B384" s="36">
        <v>24368358672</v>
      </c>
      <c r="C384" s="36"/>
      <c r="D384" s="37" t="s">
        <v>104</v>
      </c>
      <c r="E384" s="36">
        <v>110000004466624</v>
      </c>
      <c r="F384" s="38">
        <v>45722</v>
      </c>
      <c r="G384" s="38">
        <v>45724</v>
      </c>
      <c r="H384" s="37"/>
      <c r="I384" s="43">
        <v>1845.25</v>
      </c>
      <c r="J384" s="37" t="s">
        <v>44</v>
      </c>
      <c r="K384" s="37"/>
      <c r="L384" s="37"/>
      <c r="M384" s="37" t="s">
        <v>251</v>
      </c>
      <c r="N384" s="20" t="s">
        <v>705</v>
      </c>
      <c r="O384" s="20"/>
    </row>
    <row r="385" spans="1:15" s="28" customFormat="1" x14ac:dyDescent="0.2">
      <c r="A385" s="37" t="s">
        <v>259</v>
      </c>
      <c r="B385" s="36">
        <v>21082244182</v>
      </c>
      <c r="C385" s="36"/>
      <c r="D385" s="37" t="s">
        <v>303</v>
      </c>
      <c r="E385" s="36" t="s">
        <v>260</v>
      </c>
      <c r="F385" s="38">
        <v>45439</v>
      </c>
      <c r="G385" s="38">
        <v>45804</v>
      </c>
      <c r="H385" s="37"/>
      <c r="I385" s="43">
        <v>1803.51</v>
      </c>
      <c r="J385" s="37" t="s">
        <v>19</v>
      </c>
      <c r="K385" s="37">
        <v>270.52999999999997</v>
      </c>
      <c r="L385" s="38">
        <v>21944</v>
      </c>
      <c r="M385" s="37" t="s">
        <v>209</v>
      </c>
      <c r="N385" s="20"/>
      <c r="O385" s="20"/>
    </row>
    <row r="386" spans="1:15" s="28" customFormat="1" x14ac:dyDescent="0.2">
      <c r="A386" s="37" t="s">
        <v>167</v>
      </c>
      <c r="B386" s="36">
        <v>62353221228</v>
      </c>
      <c r="C386" s="36"/>
      <c r="D386" s="37" t="s">
        <v>303</v>
      </c>
      <c r="E386" s="36" t="s">
        <v>706</v>
      </c>
      <c r="F386" s="38">
        <v>45721</v>
      </c>
      <c r="G386" s="38">
        <v>45723</v>
      </c>
      <c r="H386" s="37"/>
      <c r="I386" s="43">
        <v>1798.16</v>
      </c>
      <c r="J386" s="37" t="s">
        <v>44</v>
      </c>
      <c r="K386" s="37">
        <v>323.67</v>
      </c>
      <c r="L386" s="38">
        <v>20046</v>
      </c>
      <c r="M386" s="37" t="s">
        <v>22</v>
      </c>
      <c r="N386" s="20" t="s">
        <v>703</v>
      </c>
      <c r="O386" s="20"/>
    </row>
    <row r="387" spans="1:15" s="28" customFormat="1" x14ac:dyDescent="0.2">
      <c r="A387" s="13" t="s">
        <v>688</v>
      </c>
      <c r="B387" s="126">
        <v>30422033478</v>
      </c>
      <c r="C387" s="36"/>
      <c r="D387" s="37" t="s">
        <v>303</v>
      </c>
      <c r="E387" s="37" t="s">
        <v>689</v>
      </c>
      <c r="F387" s="38">
        <v>45699</v>
      </c>
      <c r="G387" s="38">
        <v>45699</v>
      </c>
      <c r="H387" s="37"/>
      <c r="I387" s="43">
        <v>1781.05</v>
      </c>
      <c r="J387" s="37" t="s">
        <v>44</v>
      </c>
      <c r="K387" s="37">
        <v>276.06</v>
      </c>
      <c r="L387" s="37"/>
      <c r="M387" s="37" t="s">
        <v>22</v>
      </c>
      <c r="N387" s="20" t="s">
        <v>690</v>
      </c>
      <c r="O387" s="20"/>
    </row>
    <row r="388" spans="1:15" s="28" customFormat="1" x14ac:dyDescent="0.2">
      <c r="A388" s="37" t="s">
        <v>799</v>
      </c>
      <c r="B388" s="127">
        <v>51058081626</v>
      </c>
      <c r="C388" s="36"/>
      <c r="D388" s="37" t="s">
        <v>27</v>
      </c>
      <c r="E388" s="36">
        <v>100000462777087</v>
      </c>
      <c r="F388" s="38">
        <v>45971</v>
      </c>
      <c r="G388" s="38">
        <v>45972</v>
      </c>
      <c r="H388" s="37" t="s">
        <v>979</v>
      </c>
      <c r="I388" s="43">
        <v>1742.57</v>
      </c>
      <c r="J388" s="37" t="s">
        <v>44</v>
      </c>
      <c r="K388" s="37">
        <v>156.61000000000001</v>
      </c>
      <c r="L388" s="37"/>
      <c r="M388" s="37" t="s">
        <v>186</v>
      </c>
      <c r="N388" s="20"/>
      <c r="O388" s="20"/>
    </row>
    <row r="389" spans="1:15" x14ac:dyDescent="0.2">
      <c r="A389" s="37" t="s">
        <v>161</v>
      </c>
      <c r="B389" s="127">
        <v>46837465070</v>
      </c>
      <c r="C389" s="36"/>
      <c r="D389" s="37" t="s">
        <v>303</v>
      </c>
      <c r="E389" s="36" t="s">
        <v>710</v>
      </c>
      <c r="F389" s="38">
        <v>45722</v>
      </c>
      <c r="G389" s="38">
        <v>45722</v>
      </c>
      <c r="H389" s="37"/>
      <c r="I389" s="43">
        <v>1687.84</v>
      </c>
      <c r="J389" s="37" t="s">
        <v>44</v>
      </c>
      <c r="K389" s="37">
        <v>305.61</v>
      </c>
      <c r="L389" s="38">
        <v>22504</v>
      </c>
      <c r="M389" s="37" t="s">
        <v>22</v>
      </c>
    </row>
    <row r="390" spans="1:15" x14ac:dyDescent="0.2">
      <c r="A390" s="37" t="s">
        <v>478</v>
      </c>
      <c r="B390" s="127">
        <v>69805191504</v>
      </c>
      <c r="C390" s="36"/>
      <c r="D390" s="37" t="s">
        <v>303</v>
      </c>
      <c r="E390" s="36" t="s">
        <v>479</v>
      </c>
      <c r="F390" s="38">
        <v>45587</v>
      </c>
      <c r="G390" s="38">
        <v>45952</v>
      </c>
      <c r="H390" s="37"/>
      <c r="I390" s="43">
        <v>1681.4</v>
      </c>
      <c r="J390" s="37" t="s">
        <v>44</v>
      </c>
      <c r="K390" s="37">
        <v>294.25</v>
      </c>
      <c r="L390" s="37"/>
      <c r="M390" s="37" t="s">
        <v>209</v>
      </c>
    </row>
    <row r="391" spans="1:15" x14ac:dyDescent="0.2">
      <c r="A391" s="37" t="s">
        <v>23</v>
      </c>
      <c r="B391" s="127">
        <v>26533896866</v>
      </c>
      <c r="C391" s="36"/>
      <c r="D391" s="37" t="s">
        <v>218</v>
      </c>
      <c r="E391" s="36" t="s">
        <v>536</v>
      </c>
      <c r="F391" s="38">
        <v>45615</v>
      </c>
      <c r="G391" s="38">
        <v>46006</v>
      </c>
      <c r="H391" s="37"/>
      <c r="I391" s="43">
        <v>1636.45</v>
      </c>
      <c r="J391" s="37" t="s">
        <v>19</v>
      </c>
      <c r="K391" s="37">
        <v>294.56</v>
      </c>
      <c r="L391" s="37"/>
      <c r="M391" s="37" t="s">
        <v>22</v>
      </c>
      <c r="N391" s="27">
        <v>33772</v>
      </c>
    </row>
    <row r="392" spans="1:15" x14ac:dyDescent="0.2">
      <c r="A392" s="37" t="s">
        <v>123</v>
      </c>
      <c r="B392" s="127">
        <v>19508655032</v>
      </c>
      <c r="C392" s="36"/>
      <c r="D392" s="37" t="s">
        <v>303</v>
      </c>
      <c r="E392" s="36" t="s">
        <v>666</v>
      </c>
      <c r="F392" s="38"/>
      <c r="G392" s="38">
        <v>45693</v>
      </c>
      <c r="H392" s="36"/>
      <c r="I392" s="43">
        <v>1635.66</v>
      </c>
      <c r="J392" s="37" t="s">
        <v>44</v>
      </c>
      <c r="K392" s="37">
        <v>294.42</v>
      </c>
      <c r="L392" s="37"/>
      <c r="M392" s="37" t="s">
        <v>47</v>
      </c>
      <c r="N392" s="20" t="s">
        <v>130</v>
      </c>
    </row>
    <row r="393" spans="1:15" s="21" customFormat="1" x14ac:dyDescent="0.2">
      <c r="A393" s="128" t="s">
        <v>123</v>
      </c>
      <c r="B393" s="87">
        <v>19508655032</v>
      </c>
      <c r="C393" s="36"/>
      <c r="D393" s="37" t="s">
        <v>303</v>
      </c>
      <c r="E393" s="36" t="s">
        <v>667</v>
      </c>
      <c r="F393" s="38"/>
      <c r="G393" s="38">
        <v>45693</v>
      </c>
      <c r="H393" s="36"/>
      <c r="I393" s="43">
        <v>1635.66</v>
      </c>
      <c r="J393" s="37" t="s">
        <v>44</v>
      </c>
      <c r="K393" s="37">
        <v>294.42</v>
      </c>
      <c r="L393" s="37"/>
      <c r="M393" s="37" t="s">
        <v>47</v>
      </c>
      <c r="N393" s="20" t="s">
        <v>130</v>
      </c>
      <c r="O393" s="20"/>
    </row>
    <row r="394" spans="1:15" s="122" customFormat="1" x14ac:dyDescent="0.2">
      <c r="A394" s="37" t="s">
        <v>124</v>
      </c>
      <c r="B394" s="127">
        <v>19541653958</v>
      </c>
      <c r="C394" s="36"/>
      <c r="D394" s="37" t="s">
        <v>303</v>
      </c>
      <c r="E394" s="36" t="s">
        <v>668</v>
      </c>
      <c r="F394" s="38"/>
      <c r="G394" s="38">
        <v>45693</v>
      </c>
      <c r="H394" s="36"/>
      <c r="I394" s="43">
        <v>1635.66</v>
      </c>
      <c r="J394" s="37" t="s">
        <v>44</v>
      </c>
      <c r="K394" s="37">
        <v>294.42</v>
      </c>
      <c r="L394" s="38">
        <v>24870</v>
      </c>
      <c r="M394" s="37" t="s">
        <v>47</v>
      </c>
      <c r="N394" s="20" t="s">
        <v>130</v>
      </c>
      <c r="O394" s="20"/>
    </row>
    <row r="395" spans="1:15" s="28" customFormat="1" x14ac:dyDescent="0.2">
      <c r="A395" s="37" t="s">
        <v>125</v>
      </c>
      <c r="B395" s="127">
        <v>19505655196</v>
      </c>
      <c r="C395" s="36"/>
      <c r="D395" s="37" t="s">
        <v>303</v>
      </c>
      <c r="E395" s="36" t="s">
        <v>669</v>
      </c>
      <c r="F395" s="38"/>
      <c r="G395" s="38">
        <v>45693</v>
      </c>
      <c r="H395" s="36"/>
      <c r="I395" s="43">
        <v>1635.66</v>
      </c>
      <c r="J395" s="37" t="s">
        <v>44</v>
      </c>
      <c r="K395" s="37">
        <v>294.42</v>
      </c>
      <c r="L395" s="37"/>
      <c r="M395" s="37" t="s">
        <v>47</v>
      </c>
      <c r="N395" s="20" t="s">
        <v>130</v>
      </c>
      <c r="O395" s="20"/>
    </row>
    <row r="396" spans="1:15" s="28" customFormat="1" x14ac:dyDescent="0.2">
      <c r="A396" s="22" t="s">
        <v>165</v>
      </c>
      <c r="B396" s="129">
        <v>27631860070</v>
      </c>
      <c r="C396" s="23"/>
      <c r="D396" s="22" t="s">
        <v>166</v>
      </c>
      <c r="E396" s="23">
        <v>469302773</v>
      </c>
      <c r="F396" s="24">
        <v>45353</v>
      </c>
      <c r="G396" s="24"/>
      <c r="H396" s="22"/>
      <c r="I396" s="52">
        <v>1598.44</v>
      </c>
      <c r="J396" s="22" t="s">
        <v>19</v>
      </c>
      <c r="K396" s="22">
        <v>91.34</v>
      </c>
      <c r="L396" s="22" t="s">
        <v>169</v>
      </c>
      <c r="M396" s="22" t="s">
        <v>90</v>
      </c>
      <c r="N396" s="20" t="s">
        <v>166</v>
      </c>
      <c r="O396" s="20"/>
    </row>
    <row r="397" spans="1:15" s="28" customFormat="1" x14ac:dyDescent="0.2">
      <c r="A397" s="37" t="s">
        <v>352</v>
      </c>
      <c r="B397" s="127">
        <v>38581298790</v>
      </c>
      <c r="C397" s="36">
        <v>5324280877</v>
      </c>
      <c r="D397" s="37" t="s">
        <v>303</v>
      </c>
      <c r="E397" s="36" t="s">
        <v>879</v>
      </c>
      <c r="F397" s="38">
        <v>45841</v>
      </c>
      <c r="G397" s="38">
        <v>45851</v>
      </c>
      <c r="H397" s="37"/>
      <c r="I397" s="43">
        <v>1579</v>
      </c>
      <c r="J397" s="36" t="s">
        <v>19</v>
      </c>
      <c r="K397" s="37">
        <v>213.16</v>
      </c>
      <c r="L397" s="37"/>
      <c r="M397" s="37" t="s">
        <v>751</v>
      </c>
      <c r="N397" s="28" t="s">
        <v>359</v>
      </c>
    </row>
    <row r="398" spans="1:15" s="28" customFormat="1" x14ac:dyDescent="0.2">
      <c r="A398" s="65" t="s">
        <v>478</v>
      </c>
      <c r="B398" s="36">
        <v>69805191504</v>
      </c>
      <c r="C398" s="36"/>
      <c r="D398" s="37" t="s">
        <v>303</v>
      </c>
      <c r="E398" s="36" t="s">
        <v>890</v>
      </c>
      <c r="F398" s="38">
        <v>45855</v>
      </c>
      <c r="G398" s="38">
        <v>45855</v>
      </c>
      <c r="H398" s="37"/>
      <c r="I398" s="43">
        <v>1579</v>
      </c>
      <c r="J398" s="37" t="s">
        <v>44</v>
      </c>
      <c r="K398" s="37">
        <v>252.64</v>
      </c>
      <c r="L398" s="37"/>
      <c r="M398" s="37" t="s">
        <v>752</v>
      </c>
      <c r="N398" s="50"/>
    </row>
    <row r="399" spans="1:15" x14ac:dyDescent="0.2">
      <c r="A399" s="37" t="s">
        <v>123</v>
      </c>
      <c r="B399" s="36">
        <v>19508655032</v>
      </c>
      <c r="C399" s="36"/>
      <c r="D399" s="37" t="s">
        <v>303</v>
      </c>
      <c r="E399" s="36" t="s">
        <v>126</v>
      </c>
      <c r="F399" s="38">
        <v>45327</v>
      </c>
      <c r="G399" s="38"/>
      <c r="H399" s="36"/>
      <c r="I399" s="43">
        <v>1555.22</v>
      </c>
      <c r="J399" s="37" t="s">
        <v>44</v>
      </c>
      <c r="K399" s="37">
        <v>241.06</v>
      </c>
      <c r="L399" s="37"/>
      <c r="M399" s="37" t="s">
        <v>47</v>
      </c>
      <c r="N399" s="20" t="s">
        <v>130</v>
      </c>
    </row>
    <row r="400" spans="1:15" x14ac:dyDescent="0.2">
      <c r="A400" s="37" t="s">
        <v>123</v>
      </c>
      <c r="B400" s="36">
        <v>19508655032</v>
      </c>
      <c r="C400" s="36"/>
      <c r="D400" s="37" t="s">
        <v>303</v>
      </c>
      <c r="E400" s="36" t="s">
        <v>127</v>
      </c>
      <c r="F400" s="38">
        <v>45327</v>
      </c>
      <c r="G400" s="38"/>
      <c r="H400" s="36"/>
      <c r="I400" s="43">
        <v>1555.22</v>
      </c>
      <c r="J400" s="37" t="s">
        <v>44</v>
      </c>
      <c r="K400" s="37">
        <v>241.06</v>
      </c>
      <c r="L400" s="37"/>
      <c r="M400" s="37" t="s">
        <v>47</v>
      </c>
      <c r="N400" s="20" t="s">
        <v>131</v>
      </c>
    </row>
    <row r="401" spans="1:226" s="28" customFormat="1" x14ac:dyDescent="0.2">
      <c r="A401" s="37" t="s">
        <v>124</v>
      </c>
      <c r="B401" s="36">
        <v>19541653958</v>
      </c>
      <c r="C401" s="36"/>
      <c r="D401" s="37" t="s">
        <v>303</v>
      </c>
      <c r="E401" s="36" t="s">
        <v>128</v>
      </c>
      <c r="F401" s="38">
        <v>45327</v>
      </c>
      <c r="G401" s="38"/>
      <c r="H401" s="36"/>
      <c r="I401" s="43">
        <v>1555.22</v>
      </c>
      <c r="J401" s="37" t="s">
        <v>44</v>
      </c>
      <c r="K401" s="37">
        <v>241.06</v>
      </c>
      <c r="L401" s="38">
        <v>24870</v>
      </c>
      <c r="M401" s="37" t="s">
        <v>47</v>
      </c>
      <c r="N401" s="20" t="s">
        <v>132</v>
      </c>
      <c r="O401" s="20"/>
    </row>
    <row r="402" spans="1:226" s="28" customFormat="1" x14ac:dyDescent="0.2">
      <c r="A402" s="37" t="s">
        <v>125</v>
      </c>
      <c r="B402" s="36">
        <v>19505655196</v>
      </c>
      <c r="C402" s="36"/>
      <c r="D402" s="37" t="s">
        <v>303</v>
      </c>
      <c r="E402" s="36" t="s">
        <v>129</v>
      </c>
      <c r="F402" s="38">
        <v>45327</v>
      </c>
      <c r="G402" s="38"/>
      <c r="H402" s="36"/>
      <c r="I402" s="43">
        <v>1555.22</v>
      </c>
      <c r="J402" s="37" t="s">
        <v>44</v>
      </c>
      <c r="K402" s="37">
        <v>241.06</v>
      </c>
      <c r="L402" s="37"/>
      <c r="M402" s="37" t="s">
        <v>47</v>
      </c>
      <c r="N402" s="20" t="s">
        <v>133</v>
      </c>
      <c r="O402" s="20"/>
    </row>
    <row r="403" spans="1:226" s="122" customFormat="1" x14ac:dyDescent="0.2">
      <c r="A403" s="37" t="s">
        <v>926</v>
      </c>
      <c r="B403" s="36">
        <v>21971172336</v>
      </c>
      <c r="C403" s="36"/>
      <c r="D403" s="37" t="s">
        <v>303</v>
      </c>
      <c r="E403" s="36" t="s">
        <v>927</v>
      </c>
      <c r="F403" s="38">
        <v>45889</v>
      </c>
      <c r="G403" s="38">
        <v>45889</v>
      </c>
      <c r="H403" s="37"/>
      <c r="I403" s="43">
        <v>1543.1</v>
      </c>
      <c r="J403" s="37" t="s">
        <v>44</v>
      </c>
      <c r="K403" s="37">
        <v>270.04000000000002</v>
      </c>
      <c r="L403" s="37"/>
      <c r="M403" s="37" t="s">
        <v>25</v>
      </c>
      <c r="N403" s="28"/>
      <c r="O403" s="28"/>
    </row>
    <row r="404" spans="1:226" s="45" customFormat="1" x14ac:dyDescent="0.2">
      <c r="A404" s="37" t="s">
        <v>701</v>
      </c>
      <c r="B404" s="36">
        <v>39412987104</v>
      </c>
      <c r="C404" s="36"/>
      <c r="D404" s="37" t="s">
        <v>373</v>
      </c>
      <c r="E404" s="36">
        <v>600000001465842</v>
      </c>
      <c r="F404" s="38">
        <v>45714</v>
      </c>
      <c r="G404" s="38">
        <v>45719</v>
      </c>
      <c r="H404" s="37"/>
      <c r="I404" s="43">
        <v>1527.32</v>
      </c>
      <c r="J404" s="37" t="s">
        <v>44</v>
      </c>
      <c r="K404" s="37">
        <v>610.92999999999995</v>
      </c>
      <c r="L404" s="37"/>
      <c r="M404" s="37" t="s">
        <v>25</v>
      </c>
      <c r="N404" s="20" t="s">
        <v>702</v>
      </c>
      <c r="O404" s="20"/>
    </row>
    <row r="405" spans="1:226" s="21" customFormat="1" x14ac:dyDescent="0.2">
      <c r="A405" s="37" t="s">
        <v>161</v>
      </c>
      <c r="B405" s="36">
        <v>46837465070</v>
      </c>
      <c r="C405" s="36"/>
      <c r="D405" s="37" t="s">
        <v>303</v>
      </c>
      <c r="E405" s="36" t="s">
        <v>711</v>
      </c>
      <c r="F405" s="38">
        <v>45722</v>
      </c>
      <c r="G405" s="38">
        <v>45722</v>
      </c>
      <c r="H405" s="37"/>
      <c r="I405" s="43">
        <v>1517.2</v>
      </c>
      <c r="J405" s="37" t="s">
        <v>44</v>
      </c>
      <c r="K405" s="37">
        <v>273.10000000000002</v>
      </c>
      <c r="L405" s="38">
        <v>22504</v>
      </c>
      <c r="M405" s="37" t="s">
        <v>22</v>
      </c>
      <c r="N405" s="20"/>
      <c r="O405" s="20"/>
    </row>
    <row r="406" spans="1:226" s="28" customFormat="1" x14ac:dyDescent="0.2">
      <c r="A406" s="37" t="s">
        <v>406</v>
      </c>
      <c r="B406" s="36">
        <v>56971561088</v>
      </c>
      <c r="C406" s="36"/>
      <c r="D406" s="37" t="s">
        <v>218</v>
      </c>
      <c r="E406" s="36" t="s">
        <v>458</v>
      </c>
      <c r="F406" s="38">
        <v>45559</v>
      </c>
      <c r="G406" s="38">
        <v>45926</v>
      </c>
      <c r="H406" s="37"/>
      <c r="I406" s="43">
        <v>1507.04</v>
      </c>
      <c r="J406" s="37" t="s">
        <v>44</v>
      </c>
      <c r="K406" s="37">
        <v>271</v>
      </c>
      <c r="L406" s="37"/>
      <c r="M406" s="37" t="s">
        <v>22</v>
      </c>
      <c r="N406" s="20"/>
      <c r="O406" s="20"/>
    </row>
    <row r="407" spans="1:226" s="21" customFormat="1" x14ac:dyDescent="0.2">
      <c r="A407" s="37" t="s">
        <v>102</v>
      </c>
      <c r="B407" s="36">
        <v>18164569752</v>
      </c>
      <c r="C407" s="36">
        <v>5327629676</v>
      </c>
      <c r="D407" s="37" t="s">
        <v>27</v>
      </c>
      <c r="E407" s="36">
        <v>100000213664019</v>
      </c>
      <c r="F407" s="38">
        <v>45342</v>
      </c>
      <c r="G407" s="38"/>
      <c r="H407" s="36" t="s">
        <v>138</v>
      </c>
      <c r="I407" s="43">
        <v>1491.89</v>
      </c>
      <c r="J407" s="37" t="s">
        <v>20</v>
      </c>
      <c r="K407" s="37">
        <v>134.08000000000001</v>
      </c>
      <c r="L407" s="37" t="s">
        <v>139</v>
      </c>
      <c r="M407" s="37" t="s">
        <v>186</v>
      </c>
      <c r="N407" s="20" t="s">
        <v>707</v>
      </c>
      <c r="O407" s="20"/>
    </row>
    <row r="408" spans="1:226" s="28" customFormat="1" x14ac:dyDescent="0.2">
      <c r="A408" s="130" t="s">
        <v>491</v>
      </c>
      <c r="B408" s="131">
        <v>23677180240</v>
      </c>
      <c r="C408" s="131">
        <v>5458618497</v>
      </c>
      <c r="D408" s="130" t="s">
        <v>303</v>
      </c>
      <c r="E408" s="131" t="s">
        <v>490</v>
      </c>
      <c r="F408" s="132">
        <v>45580</v>
      </c>
      <c r="G408" s="132">
        <v>45945</v>
      </c>
      <c r="H408" s="130"/>
      <c r="I408" s="133">
        <v>1488.37</v>
      </c>
      <c r="J408" s="130" t="s">
        <v>44</v>
      </c>
      <c r="K408" s="130">
        <v>230.07</v>
      </c>
      <c r="L408" s="130"/>
      <c r="M408" s="130" t="s">
        <v>22</v>
      </c>
      <c r="N408" s="20"/>
      <c r="O408" s="20"/>
    </row>
    <row r="409" spans="1:226" x14ac:dyDescent="0.2">
      <c r="A409" s="37" t="s">
        <v>156</v>
      </c>
      <c r="B409" s="36">
        <v>26605894448</v>
      </c>
      <c r="C409" s="36"/>
      <c r="D409" s="37" t="s">
        <v>303</v>
      </c>
      <c r="E409" s="36" t="s">
        <v>157</v>
      </c>
      <c r="F409" s="38">
        <v>45350</v>
      </c>
      <c r="G409" s="38"/>
      <c r="H409" s="37"/>
      <c r="I409" s="43">
        <v>1484.54</v>
      </c>
      <c r="J409" s="37" t="s">
        <v>19</v>
      </c>
      <c r="K409" s="37">
        <v>267.22000000000003</v>
      </c>
      <c r="L409" s="37"/>
      <c r="M409" s="37" t="s">
        <v>22</v>
      </c>
    </row>
    <row r="410" spans="1:226" x14ac:dyDescent="0.2">
      <c r="A410" s="37" t="s">
        <v>167</v>
      </c>
      <c r="B410" s="36">
        <v>62353221228</v>
      </c>
      <c r="C410" s="36"/>
      <c r="D410" s="37" t="s">
        <v>303</v>
      </c>
      <c r="E410" s="36" t="s">
        <v>168</v>
      </c>
      <c r="F410" s="38">
        <v>45358</v>
      </c>
      <c r="G410" s="38"/>
      <c r="H410" s="37"/>
      <c r="I410" s="43">
        <v>1413.22</v>
      </c>
      <c r="J410" s="37" t="s">
        <v>44</v>
      </c>
      <c r="K410" s="37">
        <v>254.46</v>
      </c>
      <c r="L410" s="38">
        <v>20046</v>
      </c>
      <c r="M410" s="37" t="s">
        <v>22</v>
      </c>
    </row>
    <row r="411" spans="1:226" x14ac:dyDescent="0.2">
      <c r="A411" s="37" t="s">
        <v>150</v>
      </c>
      <c r="B411" s="36">
        <v>41866569218</v>
      </c>
      <c r="C411" s="36"/>
      <c r="D411" s="37" t="s">
        <v>303</v>
      </c>
      <c r="E411" s="36" t="s">
        <v>152</v>
      </c>
      <c r="F411" s="38">
        <v>45348</v>
      </c>
      <c r="G411" s="38"/>
      <c r="H411" s="37"/>
      <c r="I411" s="43">
        <v>1399.71</v>
      </c>
      <c r="J411" s="37" t="s">
        <v>20</v>
      </c>
      <c r="K411" s="37">
        <v>216.96</v>
      </c>
      <c r="L411" s="37"/>
      <c r="M411" s="37" t="s">
        <v>186</v>
      </c>
    </row>
    <row r="412" spans="1:226" x14ac:dyDescent="0.2">
      <c r="A412" s="37" t="s">
        <v>161</v>
      </c>
      <c r="B412" s="36">
        <v>46837465070</v>
      </c>
      <c r="C412" s="36"/>
      <c r="D412" s="37" t="s">
        <v>303</v>
      </c>
      <c r="E412" s="36" t="s">
        <v>163</v>
      </c>
      <c r="F412" s="38">
        <v>45352</v>
      </c>
      <c r="G412" s="38"/>
      <c r="H412" s="37"/>
      <c r="I412" s="43">
        <v>1334.78</v>
      </c>
      <c r="J412" s="37" t="s">
        <v>44</v>
      </c>
      <c r="K412" s="37">
        <v>240.26</v>
      </c>
      <c r="L412" s="38">
        <v>22504</v>
      </c>
      <c r="M412" s="37" t="s">
        <v>22</v>
      </c>
    </row>
    <row r="413" spans="1:226" x14ac:dyDescent="0.2">
      <c r="A413" s="37" t="s">
        <v>160</v>
      </c>
      <c r="B413" s="36">
        <v>46834465134</v>
      </c>
      <c r="C413" s="36"/>
      <c r="D413" s="37" t="s">
        <v>303</v>
      </c>
      <c r="E413" s="36" t="s">
        <v>709</v>
      </c>
      <c r="F413" s="38">
        <v>45722</v>
      </c>
      <c r="G413" s="38">
        <v>45722</v>
      </c>
      <c r="H413" s="37"/>
      <c r="I413" s="43">
        <v>1312</v>
      </c>
      <c r="J413" s="37" t="s">
        <v>44</v>
      </c>
      <c r="K413" s="37">
        <v>170.56</v>
      </c>
      <c r="L413" s="37"/>
      <c r="M413" s="37" t="s">
        <v>22</v>
      </c>
    </row>
    <row r="414" spans="1:226" x14ac:dyDescent="0.2">
      <c r="A414" s="37" t="s">
        <v>575</v>
      </c>
      <c r="B414" s="36"/>
      <c r="C414" s="36"/>
      <c r="D414" s="37" t="s">
        <v>303</v>
      </c>
      <c r="E414" s="36" t="s">
        <v>576</v>
      </c>
      <c r="F414" s="38">
        <v>45645</v>
      </c>
      <c r="G414" s="38">
        <v>46010</v>
      </c>
      <c r="H414" s="37"/>
      <c r="I414" s="43">
        <v>1285.78</v>
      </c>
      <c r="J414" s="37" t="s">
        <v>44</v>
      </c>
      <c r="K414" s="37">
        <v>135.01</v>
      </c>
      <c r="L414" s="37"/>
      <c r="M414" s="37" t="s">
        <v>22</v>
      </c>
      <c r="N414" s="20" t="s">
        <v>577</v>
      </c>
    </row>
    <row r="415" spans="1:226" x14ac:dyDescent="0.2">
      <c r="A415" s="37" t="s">
        <v>575</v>
      </c>
      <c r="B415" s="36"/>
      <c r="C415" s="36"/>
      <c r="D415" s="37" t="s">
        <v>303</v>
      </c>
      <c r="E415" s="36" t="s">
        <v>576</v>
      </c>
      <c r="F415" s="38">
        <v>45645</v>
      </c>
      <c r="G415" s="38">
        <v>46010</v>
      </c>
      <c r="H415" s="37"/>
      <c r="I415" s="43">
        <v>1285.78</v>
      </c>
      <c r="J415" s="37" t="s">
        <v>44</v>
      </c>
      <c r="K415" s="37">
        <v>135.01</v>
      </c>
      <c r="L415" s="37"/>
      <c r="M415" s="37" t="s">
        <v>22</v>
      </c>
      <c r="N415" s="20" t="s">
        <v>577</v>
      </c>
    </row>
    <row r="416" spans="1:226" s="28" customFormat="1" x14ac:dyDescent="0.2">
      <c r="A416" s="37" t="s">
        <v>52</v>
      </c>
      <c r="B416" s="36">
        <v>24368358672</v>
      </c>
      <c r="C416" s="36"/>
      <c r="D416" s="37" t="s">
        <v>303</v>
      </c>
      <c r="E416" s="36" t="s">
        <v>676</v>
      </c>
      <c r="F416" s="38">
        <v>45691</v>
      </c>
      <c r="G416" s="38">
        <v>45691</v>
      </c>
      <c r="H416" s="37"/>
      <c r="I416" s="43">
        <v>1273</v>
      </c>
      <c r="J416" s="37" t="s">
        <v>19</v>
      </c>
      <c r="K416" s="37">
        <v>229.14</v>
      </c>
      <c r="L416" s="37"/>
      <c r="M416" s="37" t="s">
        <v>47</v>
      </c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  <c r="DH416" s="20"/>
      <c r="DI416" s="20"/>
      <c r="DJ416" s="20"/>
      <c r="DK416" s="20"/>
      <c r="DL416" s="20"/>
      <c r="DM416" s="20"/>
      <c r="DN416" s="20"/>
      <c r="DO416" s="20"/>
      <c r="DP416" s="20"/>
      <c r="DQ416" s="20"/>
      <c r="DR416" s="20"/>
      <c r="DS416" s="20"/>
      <c r="DT416" s="20"/>
      <c r="DU416" s="20"/>
      <c r="DV416" s="20"/>
      <c r="DW416" s="20"/>
      <c r="DX416" s="20"/>
      <c r="DY416" s="20"/>
      <c r="DZ416" s="20"/>
      <c r="EA416" s="20"/>
      <c r="EB416" s="20"/>
      <c r="EC416" s="20"/>
      <c r="ED416" s="20"/>
      <c r="EE416" s="20"/>
      <c r="EF416" s="20"/>
      <c r="EG416" s="20"/>
      <c r="EH416" s="20"/>
      <c r="EI416" s="20"/>
      <c r="EJ416" s="20"/>
      <c r="EK416" s="20"/>
      <c r="EL416" s="20"/>
      <c r="EM416" s="20"/>
      <c r="EN416" s="20"/>
      <c r="EO416" s="20"/>
      <c r="EP416" s="20"/>
      <c r="EQ416" s="20"/>
      <c r="ER416" s="20"/>
      <c r="ES416" s="20"/>
      <c r="ET416" s="20"/>
      <c r="EU416" s="20"/>
      <c r="EV416" s="20"/>
      <c r="EW416" s="20"/>
      <c r="EX416" s="20"/>
      <c r="EY416" s="20"/>
      <c r="EZ416" s="20"/>
      <c r="FA416" s="20"/>
      <c r="FB416" s="20"/>
      <c r="FC416" s="20"/>
      <c r="FD416" s="20"/>
      <c r="FE416" s="20"/>
      <c r="FF416" s="20"/>
      <c r="FG416" s="20"/>
      <c r="FH416" s="20"/>
      <c r="FI416" s="20"/>
      <c r="FJ416" s="20"/>
      <c r="FK416" s="20"/>
      <c r="FL416" s="20"/>
      <c r="FM416" s="20"/>
      <c r="FN416" s="20"/>
      <c r="FO416" s="20"/>
      <c r="FP416" s="20"/>
      <c r="FQ416" s="20"/>
      <c r="FR416" s="20"/>
      <c r="FS416" s="20"/>
      <c r="FT416" s="20"/>
      <c r="FU416" s="20"/>
      <c r="FV416" s="20"/>
      <c r="FW416" s="20"/>
      <c r="FX416" s="20"/>
      <c r="FY416" s="20"/>
      <c r="FZ416" s="20"/>
      <c r="GA416" s="20"/>
      <c r="GB416" s="20"/>
      <c r="GC416" s="20"/>
      <c r="GD416" s="20"/>
      <c r="GE416" s="20"/>
      <c r="GF416" s="20"/>
      <c r="GG416" s="20"/>
      <c r="GH416" s="20"/>
      <c r="GI416" s="20"/>
      <c r="GJ416" s="20"/>
      <c r="GK416" s="20"/>
      <c r="GL416" s="20"/>
      <c r="GM416" s="20"/>
      <c r="GN416" s="20"/>
      <c r="GO416" s="20"/>
      <c r="GP416" s="20"/>
      <c r="GQ416" s="20"/>
      <c r="GR416" s="20"/>
      <c r="GS416" s="20"/>
      <c r="GT416" s="20"/>
      <c r="GU416" s="20"/>
      <c r="GV416" s="20"/>
      <c r="GW416" s="20"/>
      <c r="GX416" s="20"/>
      <c r="GY416" s="20"/>
      <c r="GZ416" s="20"/>
      <c r="HA416" s="20"/>
      <c r="HB416" s="20"/>
      <c r="HC416" s="20"/>
      <c r="HD416" s="20"/>
      <c r="HE416" s="20"/>
      <c r="HF416" s="20"/>
      <c r="HG416" s="20"/>
      <c r="HH416" s="20"/>
      <c r="HI416" s="20"/>
      <c r="HJ416" s="20"/>
      <c r="HK416" s="20"/>
      <c r="HL416" s="20"/>
      <c r="HM416" s="20"/>
      <c r="HN416" s="20"/>
      <c r="HO416" s="20"/>
      <c r="HP416" s="20"/>
      <c r="HQ416" s="20"/>
      <c r="HR416" s="20"/>
    </row>
    <row r="417" spans="1:226" s="28" customFormat="1" x14ac:dyDescent="0.2">
      <c r="A417" s="37" t="s">
        <v>43</v>
      </c>
      <c r="B417" s="36">
        <v>62323222248</v>
      </c>
      <c r="C417" s="36">
        <v>5334482661</v>
      </c>
      <c r="D417" s="37" t="s">
        <v>303</v>
      </c>
      <c r="E417" s="36" t="s">
        <v>625</v>
      </c>
      <c r="F417" s="38">
        <v>45673</v>
      </c>
      <c r="G417" s="38">
        <v>46041</v>
      </c>
      <c r="H417" s="37"/>
      <c r="I417" s="43">
        <v>1268</v>
      </c>
      <c r="J417" s="37" t="s">
        <v>44</v>
      </c>
      <c r="K417" s="37">
        <v>228.24</v>
      </c>
      <c r="L417" s="37"/>
      <c r="M417" s="37" t="s">
        <v>22</v>
      </c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  <c r="DH417" s="20"/>
      <c r="DI417" s="20"/>
      <c r="DJ417" s="20"/>
      <c r="DK417" s="20"/>
      <c r="DL417" s="20"/>
      <c r="DM417" s="20"/>
      <c r="DN417" s="20"/>
      <c r="DO417" s="20"/>
      <c r="DP417" s="20"/>
      <c r="DQ417" s="20"/>
      <c r="DR417" s="20"/>
      <c r="DS417" s="20"/>
      <c r="DT417" s="20"/>
      <c r="DU417" s="20"/>
      <c r="DV417" s="20"/>
      <c r="DW417" s="20"/>
      <c r="DX417" s="20"/>
      <c r="DY417" s="20"/>
      <c r="DZ417" s="20"/>
      <c r="EA417" s="20"/>
      <c r="EB417" s="20"/>
      <c r="EC417" s="20"/>
      <c r="ED417" s="20"/>
      <c r="EE417" s="20"/>
      <c r="EF417" s="20"/>
      <c r="EG417" s="20"/>
      <c r="EH417" s="20"/>
      <c r="EI417" s="20"/>
      <c r="EJ417" s="20"/>
      <c r="EK417" s="20"/>
      <c r="EL417" s="20"/>
      <c r="EM417" s="20"/>
      <c r="EN417" s="20"/>
      <c r="EO417" s="20"/>
      <c r="EP417" s="20"/>
      <c r="EQ417" s="20"/>
      <c r="ER417" s="20"/>
      <c r="ES417" s="20"/>
      <c r="ET417" s="20"/>
      <c r="EU417" s="20"/>
      <c r="EV417" s="20"/>
      <c r="EW417" s="20"/>
      <c r="EX417" s="20"/>
      <c r="EY417" s="20"/>
      <c r="EZ417" s="20"/>
      <c r="FA417" s="20"/>
      <c r="FB417" s="20"/>
      <c r="FC417" s="20"/>
      <c r="FD417" s="20"/>
      <c r="FE417" s="20"/>
      <c r="FF417" s="20"/>
      <c r="FG417" s="20"/>
      <c r="FH417" s="20"/>
      <c r="FI417" s="20"/>
      <c r="FJ417" s="20"/>
      <c r="FK417" s="20"/>
      <c r="FL417" s="20"/>
      <c r="FM417" s="20"/>
      <c r="FN417" s="20"/>
      <c r="FO417" s="20"/>
      <c r="FP417" s="20"/>
      <c r="FQ417" s="20"/>
      <c r="FR417" s="20"/>
      <c r="FS417" s="20"/>
      <c r="FT417" s="20"/>
      <c r="FU417" s="20"/>
      <c r="FV417" s="20"/>
      <c r="FW417" s="20"/>
      <c r="FX417" s="20"/>
      <c r="FY417" s="20"/>
      <c r="FZ417" s="20"/>
      <c r="GA417" s="20"/>
      <c r="GB417" s="20"/>
      <c r="GC417" s="20"/>
      <c r="GD417" s="20"/>
      <c r="GE417" s="20"/>
      <c r="GF417" s="20"/>
      <c r="GG417" s="20"/>
      <c r="GH417" s="20"/>
      <c r="GI417" s="20"/>
      <c r="GJ417" s="20"/>
      <c r="GK417" s="20"/>
      <c r="GL417" s="20"/>
      <c r="GM417" s="20"/>
      <c r="GN417" s="20"/>
      <c r="GO417" s="20"/>
      <c r="GP417" s="20"/>
      <c r="GQ417" s="20"/>
      <c r="GR417" s="20"/>
      <c r="GS417" s="20"/>
      <c r="GT417" s="20"/>
      <c r="GU417" s="20"/>
      <c r="GV417" s="20"/>
      <c r="GW417" s="20"/>
      <c r="GX417" s="20"/>
      <c r="GY417" s="20"/>
      <c r="GZ417" s="20"/>
      <c r="HA417" s="20"/>
      <c r="HB417" s="20"/>
      <c r="HC417" s="20"/>
      <c r="HD417" s="20"/>
      <c r="HE417" s="20"/>
      <c r="HF417" s="20"/>
      <c r="HG417" s="20"/>
      <c r="HH417" s="20"/>
      <c r="HI417" s="20"/>
      <c r="HJ417" s="20"/>
      <c r="HK417" s="20"/>
      <c r="HL417" s="20"/>
      <c r="HM417" s="20"/>
      <c r="HN417" s="20"/>
      <c r="HO417" s="20"/>
      <c r="HP417" s="20"/>
      <c r="HQ417" s="20"/>
      <c r="HR417" s="20"/>
    </row>
    <row r="418" spans="1:226" s="28" customFormat="1" x14ac:dyDescent="0.2">
      <c r="A418" s="37" t="s">
        <v>648</v>
      </c>
      <c r="B418" s="36">
        <v>48433709176</v>
      </c>
      <c r="C418" s="36">
        <v>5320625427</v>
      </c>
      <c r="D418" s="37" t="s">
        <v>218</v>
      </c>
      <c r="E418" s="36" t="s">
        <v>650</v>
      </c>
      <c r="F418" s="38">
        <v>45680</v>
      </c>
      <c r="G418" s="38">
        <v>45680</v>
      </c>
      <c r="H418" s="37"/>
      <c r="I418" s="43">
        <v>1268</v>
      </c>
      <c r="J418" s="37" t="s">
        <v>19</v>
      </c>
      <c r="K418" s="37">
        <v>196.54</v>
      </c>
      <c r="L418" s="37"/>
      <c r="M418" s="37" t="s">
        <v>22</v>
      </c>
      <c r="N418" s="20" t="s">
        <v>649</v>
      </c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  <c r="DF418" s="20"/>
      <c r="DG418" s="20"/>
      <c r="DH418" s="20"/>
      <c r="DI418" s="20"/>
      <c r="DJ418" s="20"/>
      <c r="DK418" s="20"/>
      <c r="DL418" s="20"/>
      <c r="DM418" s="20"/>
      <c r="DN418" s="20"/>
      <c r="DO418" s="20"/>
      <c r="DP418" s="20"/>
      <c r="DQ418" s="20"/>
      <c r="DR418" s="20"/>
      <c r="DS418" s="20"/>
      <c r="DT418" s="20"/>
      <c r="DU418" s="20"/>
      <c r="DV418" s="20"/>
      <c r="DW418" s="20"/>
      <c r="DX418" s="20"/>
      <c r="DY418" s="20"/>
      <c r="DZ418" s="20"/>
      <c r="EA418" s="20"/>
      <c r="EB418" s="20"/>
      <c r="EC418" s="20"/>
      <c r="ED418" s="20"/>
      <c r="EE418" s="20"/>
      <c r="EF418" s="20"/>
      <c r="EG418" s="20"/>
      <c r="EH418" s="20"/>
      <c r="EI418" s="20"/>
      <c r="EJ418" s="20"/>
      <c r="EK418" s="20"/>
      <c r="EL418" s="20"/>
      <c r="EM418" s="20"/>
      <c r="EN418" s="20"/>
      <c r="EO418" s="20"/>
      <c r="EP418" s="20"/>
      <c r="EQ418" s="20"/>
      <c r="ER418" s="20"/>
      <c r="ES418" s="20"/>
      <c r="ET418" s="20"/>
      <c r="EU418" s="20"/>
      <c r="EV418" s="20"/>
      <c r="EW418" s="20"/>
      <c r="EX418" s="20"/>
      <c r="EY418" s="20"/>
      <c r="EZ418" s="20"/>
      <c r="FA418" s="20"/>
      <c r="FB418" s="20"/>
      <c r="FC418" s="20"/>
      <c r="FD418" s="20"/>
      <c r="FE418" s="20"/>
      <c r="FF418" s="20"/>
      <c r="FG418" s="20"/>
      <c r="FH418" s="20"/>
      <c r="FI418" s="20"/>
      <c r="FJ418" s="20"/>
      <c r="FK418" s="20"/>
      <c r="FL418" s="20"/>
      <c r="FM418" s="20"/>
      <c r="FN418" s="20"/>
      <c r="FO418" s="20"/>
      <c r="FP418" s="20"/>
      <c r="FQ418" s="20"/>
      <c r="FR418" s="20"/>
      <c r="FS418" s="20"/>
      <c r="FT418" s="20"/>
      <c r="FU418" s="20"/>
      <c r="FV418" s="20"/>
      <c r="FW418" s="20"/>
      <c r="FX418" s="20"/>
      <c r="FY418" s="20"/>
      <c r="FZ418" s="20"/>
      <c r="GA418" s="20"/>
      <c r="GB418" s="20"/>
      <c r="GC418" s="20"/>
      <c r="GD418" s="20"/>
      <c r="GE418" s="20"/>
      <c r="GF418" s="20"/>
      <c r="GG418" s="20"/>
      <c r="GH418" s="20"/>
      <c r="GI418" s="20"/>
      <c r="GJ418" s="20"/>
      <c r="GK418" s="20"/>
      <c r="GL418" s="20"/>
      <c r="GM418" s="20"/>
      <c r="GN418" s="20"/>
      <c r="GO418" s="20"/>
      <c r="GP418" s="20"/>
      <c r="GQ418" s="20"/>
      <c r="GR418" s="20"/>
      <c r="GS418" s="20"/>
      <c r="GT418" s="20"/>
      <c r="GU418" s="20"/>
      <c r="GV418" s="20"/>
      <c r="GW418" s="20"/>
      <c r="GX418" s="20"/>
      <c r="GY418" s="20"/>
      <c r="GZ418" s="20"/>
      <c r="HA418" s="20"/>
      <c r="HB418" s="20"/>
      <c r="HC418" s="20"/>
      <c r="HD418" s="20"/>
      <c r="HE418" s="20"/>
      <c r="HF418" s="20"/>
      <c r="HG418" s="20"/>
      <c r="HH418" s="20"/>
      <c r="HI418" s="20"/>
      <c r="HJ418" s="20"/>
      <c r="HK418" s="20"/>
      <c r="HL418" s="20"/>
      <c r="HM418" s="20"/>
      <c r="HN418" s="20"/>
      <c r="HO418" s="20"/>
      <c r="HP418" s="20"/>
      <c r="HQ418" s="20"/>
      <c r="HR418" s="20"/>
    </row>
    <row r="419" spans="1:226" s="28" customFormat="1" x14ac:dyDescent="0.2">
      <c r="A419" s="130" t="s">
        <v>49</v>
      </c>
      <c r="B419" s="131">
        <v>44572687856</v>
      </c>
      <c r="C419" s="131"/>
      <c r="D419" s="130" t="s">
        <v>303</v>
      </c>
      <c r="E419" s="131" t="s">
        <v>622</v>
      </c>
      <c r="F419" s="132">
        <v>45301</v>
      </c>
      <c r="G419" s="132">
        <v>46035</v>
      </c>
      <c r="H419" s="130"/>
      <c r="I419" s="133">
        <v>1238</v>
      </c>
      <c r="J419" s="130" t="s">
        <v>44</v>
      </c>
      <c r="K419" s="130">
        <v>228.24</v>
      </c>
      <c r="L419" s="130"/>
      <c r="M419" s="130" t="s">
        <v>47</v>
      </c>
      <c r="N419" s="20" t="s">
        <v>623</v>
      </c>
      <c r="O419" s="20"/>
    </row>
    <row r="420" spans="1:226" ht="13.8" customHeight="1" x14ac:dyDescent="0.2">
      <c r="A420" s="37" t="s">
        <v>161</v>
      </c>
      <c r="B420" s="36">
        <v>46837465070</v>
      </c>
      <c r="C420" s="36"/>
      <c r="D420" s="37" t="s">
        <v>303</v>
      </c>
      <c r="E420" s="36" t="s">
        <v>164</v>
      </c>
      <c r="F420" s="132">
        <v>45352</v>
      </c>
      <c r="G420" s="132"/>
      <c r="H420" s="37"/>
      <c r="I420" s="43">
        <v>1192.77</v>
      </c>
      <c r="J420" s="37" t="s">
        <v>44</v>
      </c>
      <c r="K420" s="37">
        <v>214.7</v>
      </c>
      <c r="L420" s="38">
        <v>22504</v>
      </c>
      <c r="M420" s="37" t="s">
        <v>22</v>
      </c>
      <c r="N420" s="46"/>
      <c r="O420" s="46"/>
    </row>
    <row r="421" spans="1:226" s="64" customFormat="1" ht="13.8" customHeight="1" x14ac:dyDescent="0.2">
      <c r="A421" s="22" t="s">
        <v>33</v>
      </c>
      <c r="B421" s="23">
        <v>21518791600</v>
      </c>
      <c r="C421" s="23"/>
      <c r="D421" s="22" t="s">
        <v>31</v>
      </c>
      <c r="E421" s="23">
        <v>1597482823</v>
      </c>
      <c r="F421" s="134">
        <v>45288</v>
      </c>
      <c r="G421" s="134"/>
      <c r="H421" s="22" t="s">
        <v>34</v>
      </c>
      <c r="I421" s="52">
        <v>1190</v>
      </c>
      <c r="J421" s="22" t="s">
        <v>74</v>
      </c>
      <c r="K421" s="22">
        <v>595</v>
      </c>
      <c r="L421" s="22"/>
      <c r="M421" s="22" t="s">
        <v>75</v>
      </c>
      <c r="N421" s="46"/>
      <c r="O421" s="46"/>
    </row>
    <row r="422" spans="1:226" s="21" customFormat="1" ht="13.8" customHeight="1" x14ac:dyDescent="0.2">
      <c r="A422" s="37" t="s">
        <v>352</v>
      </c>
      <c r="B422" s="36">
        <v>38581298790</v>
      </c>
      <c r="C422" s="36">
        <v>5324280877</v>
      </c>
      <c r="D422" s="37" t="s">
        <v>303</v>
      </c>
      <c r="E422" s="36" t="s">
        <v>360</v>
      </c>
      <c r="F422" s="38">
        <v>45482</v>
      </c>
      <c r="G422" s="38">
        <v>45851</v>
      </c>
      <c r="H422" s="37"/>
      <c r="I422" s="43">
        <v>1167</v>
      </c>
      <c r="J422" s="36" t="s">
        <v>19</v>
      </c>
      <c r="K422" s="37">
        <v>145.88</v>
      </c>
      <c r="L422" s="37"/>
      <c r="M422" s="37" t="s">
        <v>209</v>
      </c>
      <c r="N422" s="46" t="s">
        <v>359</v>
      </c>
      <c r="O422" s="46"/>
    </row>
    <row r="423" spans="1:226" s="28" customFormat="1" ht="13.8" customHeight="1" x14ac:dyDescent="0.2">
      <c r="A423" s="37" t="s">
        <v>367</v>
      </c>
      <c r="B423" s="36">
        <v>28067366198</v>
      </c>
      <c r="C423" s="36">
        <v>5324012051</v>
      </c>
      <c r="D423" s="37" t="s">
        <v>218</v>
      </c>
      <c r="E423" s="36" t="s">
        <v>366</v>
      </c>
      <c r="F423" s="38">
        <v>45483</v>
      </c>
      <c r="G423" s="38">
        <v>45855</v>
      </c>
      <c r="H423" s="37"/>
      <c r="I423" s="43">
        <v>1167</v>
      </c>
      <c r="J423" s="37" t="s">
        <v>44</v>
      </c>
      <c r="K423" s="37">
        <v>145.88</v>
      </c>
      <c r="L423" s="37"/>
      <c r="M423" s="37" t="s">
        <v>22</v>
      </c>
      <c r="N423" s="46"/>
      <c r="O423" s="46"/>
    </row>
    <row r="424" spans="1:226" s="28" customFormat="1" ht="13.8" customHeight="1" x14ac:dyDescent="0.2">
      <c r="A424" s="46" t="s">
        <v>217</v>
      </c>
      <c r="B424" s="47">
        <v>10886555952</v>
      </c>
      <c r="C424" s="47">
        <v>5314399590</v>
      </c>
      <c r="D424" s="46" t="s">
        <v>218</v>
      </c>
      <c r="E424" s="34" t="s">
        <v>219</v>
      </c>
      <c r="F424" s="48">
        <v>45390</v>
      </c>
      <c r="G424" s="48"/>
      <c r="H424" s="46"/>
      <c r="I424" s="49">
        <v>1115</v>
      </c>
      <c r="J424" s="46" t="s">
        <v>44</v>
      </c>
      <c r="K424" s="46"/>
      <c r="L424" s="46"/>
      <c r="M424" s="46" t="s">
        <v>47</v>
      </c>
      <c r="N424" s="20" t="s">
        <v>786</v>
      </c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  <c r="DK424" s="20"/>
      <c r="DL424" s="20"/>
      <c r="DM424" s="20"/>
      <c r="DN424" s="20"/>
      <c r="DO424" s="20"/>
      <c r="DP424" s="20"/>
      <c r="DQ424" s="20"/>
      <c r="DR424" s="20"/>
      <c r="DS424" s="20"/>
      <c r="DT424" s="20"/>
      <c r="DU424" s="20"/>
      <c r="DV424" s="20"/>
      <c r="DW424" s="20"/>
      <c r="DX424" s="20"/>
      <c r="DY424" s="20"/>
      <c r="DZ424" s="20"/>
      <c r="EA424" s="20"/>
      <c r="EB424" s="20"/>
      <c r="EC424" s="20"/>
      <c r="ED424" s="20"/>
      <c r="EE424" s="20"/>
      <c r="EF424" s="20"/>
      <c r="EG424" s="20"/>
      <c r="EH424" s="20"/>
      <c r="EI424" s="20"/>
      <c r="EJ424" s="20"/>
      <c r="EK424" s="20"/>
      <c r="EL424" s="20"/>
      <c r="EM424" s="20"/>
      <c r="EN424" s="20"/>
      <c r="EO424" s="20"/>
      <c r="EP424" s="20"/>
      <c r="EQ424" s="20"/>
      <c r="ER424" s="20"/>
      <c r="ES424" s="20"/>
      <c r="ET424" s="20"/>
      <c r="EU424" s="20"/>
      <c r="EV424" s="20"/>
      <c r="EW424" s="20"/>
      <c r="EX424" s="20"/>
      <c r="EY424" s="20"/>
      <c r="EZ424" s="20"/>
      <c r="FA424" s="20"/>
      <c r="FB424" s="20"/>
      <c r="FC424" s="20"/>
      <c r="FD424" s="20"/>
      <c r="FE424" s="20"/>
      <c r="FF424" s="20"/>
      <c r="FG424" s="20"/>
      <c r="FH424" s="20"/>
      <c r="FI424" s="20"/>
      <c r="FJ424" s="20"/>
      <c r="FK424" s="20"/>
      <c r="FL424" s="20"/>
      <c r="FM424" s="20"/>
      <c r="FN424" s="20"/>
      <c r="FO424" s="20"/>
      <c r="FP424" s="20"/>
      <c r="FQ424" s="20"/>
      <c r="FR424" s="20"/>
      <c r="FS424" s="20"/>
      <c r="FT424" s="20"/>
      <c r="FU424" s="20"/>
      <c r="FV424" s="20"/>
      <c r="FW424" s="20"/>
      <c r="FX424" s="20"/>
      <c r="FY424" s="20"/>
      <c r="FZ424" s="20"/>
      <c r="GA424" s="20"/>
      <c r="GB424" s="20"/>
      <c r="GC424" s="20"/>
      <c r="GD424" s="20"/>
      <c r="GE424" s="20"/>
      <c r="GF424" s="20"/>
      <c r="GG424" s="20"/>
      <c r="GH424" s="20"/>
      <c r="GI424" s="20"/>
      <c r="GJ424" s="20"/>
      <c r="GK424" s="20"/>
      <c r="GL424" s="20"/>
      <c r="GM424" s="20"/>
      <c r="GN424" s="20"/>
      <c r="GO424" s="20"/>
      <c r="GP424" s="20"/>
      <c r="GQ424" s="20"/>
      <c r="GR424" s="20"/>
      <c r="GS424" s="20"/>
      <c r="GT424" s="20"/>
      <c r="GU424" s="20"/>
      <c r="GV424" s="20"/>
      <c r="GW424" s="20"/>
      <c r="GX424" s="20"/>
      <c r="GY424" s="20"/>
      <c r="GZ424" s="20"/>
      <c r="HA424" s="20"/>
      <c r="HB424" s="20"/>
      <c r="HC424" s="20"/>
      <c r="HD424" s="20"/>
      <c r="HE424" s="20"/>
      <c r="HF424" s="20"/>
      <c r="HG424" s="20"/>
      <c r="HH424" s="20"/>
      <c r="HI424" s="20"/>
      <c r="HJ424" s="20"/>
      <c r="HK424" s="20"/>
      <c r="HL424" s="20"/>
      <c r="HM424" s="20"/>
      <c r="HN424" s="20"/>
      <c r="HO424" s="20"/>
      <c r="HP424" s="20"/>
      <c r="HQ424" s="20"/>
      <c r="HR424" s="20"/>
    </row>
    <row r="425" spans="1:226" s="28" customFormat="1" x14ac:dyDescent="0.2">
      <c r="A425" s="22" t="s">
        <v>235</v>
      </c>
      <c r="B425" s="23">
        <v>7680022666</v>
      </c>
      <c r="C425" s="23"/>
      <c r="D425" s="22" t="s">
        <v>1014</v>
      </c>
      <c r="E425" s="23">
        <v>1216326224</v>
      </c>
      <c r="F425" s="24">
        <v>45784</v>
      </c>
      <c r="G425" s="24">
        <v>45784</v>
      </c>
      <c r="H425" s="22" t="s">
        <v>236</v>
      </c>
      <c r="I425" s="52">
        <v>1096.75</v>
      </c>
      <c r="J425" s="22" t="s">
        <v>237</v>
      </c>
      <c r="K425" s="22">
        <f>87.13*0.6</f>
        <v>52.277999999999999</v>
      </c>
      <c r="L425" s="22" t="s">
        <v>807</v>
      </c>
      <c r="M425" s="22" t="s">
        <v>140</v>
      </c>
      <c r="N425" s="21" t="s">
        <v>240</v>
      </c>
      <c r="O425" s="21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/>
      <c r="DM425" s="20"/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/>
      <c r="DY425" s="20"/>
      <c r="DZ425" s="20"/>
      <c r="EA425" s="20"/>
      <c r="EB425" s="20"/>
      <c r="EC425" s="20"/>
      <c r="ED425" s="20"/>
      <c r="EE425" s="20"/>
      <c r="EF425" s="20"/>
      <c r="EG425" s="20"/>
      <c r="EH425" s="20"/>
      <c r="EI425" s="20"/>
      <c r="EJ425" s="20"/>
      <c r="EK425" s="20"/>
      <c r="EL425" s="20"/>
      <c r="EM425" s="20"/>
      <c r="EN425" s="20"/>
      <c r="EO425" s="20"/>
      <c r="EP425" s="20"/>
      <c r="EQ425" s="20"/>
      <c r="ER425" s="20"/>
      <c r="ES425" s="20"/>
      <c r="ET425" s="20"/>
      <c r="EU425" s="20"/>
      <c r="EV425" s="20"/>
      <c r="EW425" s="20"/>
      <c r="EX425" s="20"/>
      <c r="EY425" s="20"/>
      <c r="EZ425" s="20"/>
      <c r="FA425" s="20"/>
      <c r="FB425" s="20"/>
      <c r="FC425" s="20"/>
      <c r="FD425" s="20"/>
      <c r="FE425" s="20"/>
      <c r="FF425" s="20"/>
      <c r="FG425" s="20"/>
      <c r="FH425" s="20"/>
      <c r="FI425" s="20"/>
      <c r="FJ425" s="20"/>
      <c r="FK425" s="20"/>
      <c r="FL425" s="20"/>
      <c r="FM425" s="20"/>
      <c r="FN425" s="20"/>
      <c r="FO425" s="20"/>
      <c r="FP425" s="20"/>
      <c r="FQ425" s="20"/>
      <c r="FR425" s="20"/>
      <c r="FS425" s="20"/>
      <c r="FT425" s="20"/>
      <c r="FU425" s="20"/>
      <c r="FV425" s="20"/>
      <c r="FW425" s="20"/>
      <c r="FX425" s="20"/>
      <c r="FY425" s="20"/>
      <c r="FZ425" s="20"/>
      <c r="GA425" s="20"/>
      <c r="GB425" s="20"/>
      <c r="GC425" s="20"/>
      <c r="GD425" s="20"/>
      <c r="GE425" s="20"/>
      <c r="GF425" s="20"/>
      <c r="GG425" s="20"/>
      <c r="GH425" s="20"/>
      <c r="GI425" s="20"/>
      <c r="GJ425" s="20"/>
      <c r="GK425" s="20"/>
      <c r="GL425" s="20"/>
      <c r="GM425" s="20"/>
      <c r="GN425" s="20"/>
      <c r="GO425" s="20"/>
      <c r="GP425" s="20"/>
      <c r="GQ425" s="20"/>
      <c r="GR425" s="20"/>
      <c r="GS425" s="20"/>
      <c r="GT425" s="20"/>
      <c r="GU425" s="20"/>
      <c r="GV425" s="20"/>
      <c r="GW425" s="20"/>
      <c r="GX425" s="20"/>
      <c r="GY425" s="20"/>
      <c r="GZ425" s="20"/>
      <c r="HA425" s="20"/>
      <c r="HB425" s="20"/>
      <c r="HC425" s="20"/>
      <c r="HD425" s="20"/>
      <c r="HE425" s="20"/>
      <c r="HF425" s="20"/>
      <c r="HG425" s="20"/>
      <c r="HH425" s="20"/>
      <c r="HI425" s="20"/>
      <c r="HJ425" s="20"/>
      <c r="HK425" s="20"/>
      <c r="HL425" s="20"/>
      <c r="HM425" s="20"/>
      <c r="HN425" s="20"/>
      <c r="HO425" s="20"/>
      <c r="HP425" s="20"/>
      <c r="HQ425" s="20"/>
      <c r="HR425" s="20"/>
    </row>
    <row r="426" spans="1:226" ht="13.8" customHeight="1" x14ac:dyDescent="0.2">
      <c r="A426" s="80" t="s">
        <v>450</v>
      </c>
      <c r="B426" s="23">
        <v>6211022844</v>
      </c>
      <c r="C426" s="31"/>
      <c r="D426" s="22" t="s">
        <v>1014</v>
      </c>
      <c r="E426" s="23">
        <v>1197905025</v>
      </c>
      <c r="F426" s="24">
        <v>45784</v>
      </c>
      <c r="G426" s="24">
        <v>45784</v>
      </c>
      <c r="H426" s="22" t="s">
        <v>811</v>
      </c>
      <c r="I426" s="52">
        <v>1096.75</v>
      </c>
      <c r="J426" s="22" t="s">
        <v>237</v>
      </c>
      <c r="K426" s="22">
        <f>87.13*0.6</f>
        <v>52.277999999999999</v>
      </c>
      <c r="L426" s="22" t="s">
        <v>523</v>
      </c>
      <c r="M426" s="22" t="s">
        <v>140</v>
      </c>
      <c r="N426" s="22"/>
      <c r="O426" s="22"/>
    </row>
    <row r="427" spans="1:226" s="28" customFormat="1" ht="13.8" customHeight="1" x14ac:dyDescent="0.2">
      <c r="A427" s="37" t="s">
        <v>701</v>
      </c>
      <c r="B427" s="36">
        <v>39412987104</v>
      </c>
      <c r="C427" s="36"/>
      <c r="D427" s="37" t="s">
        <v>373</v>
      </c>
      <c r="E427" s="36">
        <v>600000000769005</v>
      </c>
      <c r="F427" s="38">
        <v>45490</v>
      </c>
      <c r="G427" s="38">
        <v>45856</v>
      </c>
      <c r="H427" s="37"/>
      <c r="I427" s="43">
        <v>1081.5899999999999</v>
      </c>
      <c r="J427" s="37" t="s">
        <v>44</v>
      </c>
      <c r="K427" s="37">
        <v>540.79999999999995</v>
      </c>
      <c r="L427" s="37"/>
      <c r="M427" s="37" t="s">
        <v>25</v>
      </c>
      <c r="N427" s="46"/>
      <c r="O427" s="46"/>
    </row>
    <row r="428" spans="1:226" x14ac:dyDescent="0.2">
      <c r="A428" s="22" t="s">
        <v>3</v>
      </c>
      <c r="B428" s="23">
        <v>26560895900</v>
      </c>
      <c r="C428" s="23">
        <v>5552611148</v>
      </c>
      <c r="D428" s="22" t="s">
        <v>303</v>
      </c>
      <c r="E428" s="23">
        <v>52722366</v>
      </c>
      <c r="F428" s="24">
        <v>45278</v>
      </c>
      <c r="G428" s="24"/>
      <c r="H428" s="24"/>
      <c r="I428" s="52">
        <v>1052</v>
      </c>
      <c r="J428" s="22" t="s">
        <v>19</v>
      </c>
      <c r="K428" s="22">
        <v>72</v>
      </c>
      <c r="L428" s="22"/>
      <c r="M428" s="22" t="s">
        <v>69</v>
      </c>
      <c r="N428" s="27">
        <v>24532</v>
      </c>
    </row>
    <row r="429" spans="1:226" ht="13.8" customHeight="1" x14ac:dyDescent="0.2">
      <c r="A429" s="37" t="s">
        <v>160</v>
      </c>
      <c r="B429" s="36">
        <v>46834465134</v>
      </c>
      <c r="C429" s="36"/>
      <c r="D429" s="37" t="s">
        <v>303</v>
      </c>
      <c r="E429" s="36" t="s">
        <v>162</v>
      </c>
      <c r="F429" s="38">
        <v>45352</v>
      </c>
      <c r="G429" s="38"/>
      <c r="H429" s="37"/>
      <c r="I429" s="43">
        <v>1031</v>
      </c>
      <c r="J429" s="37" t="s">
        <v>44</v>
      </c>
      <c r="K429" s="37">
        <v>134.03</v>
      </c>
      <c r="L429" s="37"/>
      <c r="M429" s="37" t="s">
        <v>22</v>
      </c>
    </row>
    <row r="430" spans="1:226" x14ac:dyDescent="0.2">
      <c r="A430" s="93" t="s">
        <v>759</v>
      </c>
      <c r="B430" s="36">
        <v>29857545588</v>
      </c>
      <c r="C430" s="36"/>
      <c r="D430" s="37" t="s">
        <v>373</v>
      </c>
      <c r="E430" s="36">
        <v>600000001844318</v>
      </c>
      <c r="F430" s="38">
        <v>45832</v>
      </c>
      <c r="G430" s="38">
        <v>45835</v>
      </c>
      <c r="H430" s="37"/>
      <c r="I430" s="43">
        <v>1003.38</v>
      </c>
      <c r="J430" s="37" t="s">
        <v>44</v>
      </c>
      <c r="K430" s="37">
        <v>401.35</v>
      </c>
      <c r="L430" s="37">
        <v>401.35</v>
      </c>
      <c r="M430" s="37" t="s">
        <v>25</v>
      </c>
      <c r="N430" s="34" t="s">
        <v>872</v>
      </c>
      <c r="O430" s="28"/>
    </row>
    <row r="431" spans="1:226" s="21" customFormat="1" x14ac:dyDescent="0.2">
      <c r="A431" s="37" t="s">
        <v>43</v>
      </c>
      <c r="B431" s="36">
        <v>62323222248</v>
      </c>
      <c r="C431" s="36">
        <v>5334482661</v>
      </c>
      <c r="D431" s="37" t="s">
        <v>303</v>
      </c>
      <c r="E431" s="36" t="s">
        <v>51</v>
      </c>
      <c r="F431" s="38">
        <v>45310</v>
      </c>
      <c r="G431" s="38"/>
      <c r="H431" s="37"/>
      <c r="I431" s="43">
        <v>979</v>
      </c>
      <c r="J431" s="37" t="s">
        <v>44</v>
      </c>
      <c r="K431" s="37">
        <v>176.22</v>
      </c>
      <c r="L431" s="37"/>
      <c r="M431" s="37" t="s">
        <v>22</v>
      </c>
      <c r="N431" s="20"/>
      <c r="O431" s="20"/>
    </row>
    <row r="432" spans="1:226" s="28" customFormat="1" x14ac:dyDescent="0.2">
      <c r="A432" s="37" t="s">
        <v>49</v>
      </c>
      <c r="B432" s="36">
        <v>44572687856</v>
      </c>
      <c r="C432" s="36"/>
      <c r="D432" s="37" t="s">
        <v>303</v>
      </c>
      <c r="E432" s="36" t="s">
        <v>50</v>
      </c>
      <c r="F432" s="38">
        <v>45304</v>
      </c>
      <c r="G432" s="38"/>
      <c r="H432" s="37"/>
      <c r="I432" s="43">
        <v>979</v>
      </c>
      <c r="J432" s="37" t="s">
        <v>44</v>
      </c>
      <c r="K432" s="37">
        <v>176.22</v>
      </c>
      <c r="L432" s="37"/>
      <c r="M432" s="37" t="s">
        <v>47</v>
      </c>
      <c r="N432" s="20" t="s">
        <v>48</v>
      </c>
      <c r="O432" s="20"/>
    </row>
    <row r="433" spans="1:15" x14ac:dyDescent="0.2">
      <c r="A433" s="37" t="s">
        <v>52</v>
      </c>
      <c r="B433" s="36">
        <v>24368358672</v>
      </c>
      <c r="C433" s="36"/>
      <c r="D433" s="37" t="s">
        <v>303</v>
      </c>
      <c r="E433" s="36" t="s">
        <v>675</v>
      </c>
      <c r="F433" s="38">
        <v>45318</v>
      </c>
      <c r="G433" s="38"/>
      <c r="H433" s="37"/>
      <c r="I433" s="43">
        <v>979</v>
      </c>
      <c r="J433" s="37" t="s">
        <v>44</v>
      </c>
      <c r="K433" s="37">
        <v>176.22</v>
      </c>
      <c r="L433" s="37"/>
      <c r="M433" s="37" t="s">
        <v>47</v>
      </c>
    </row>
    <row r="434" spans="1:15" x14ac:dyDescent="0.2">
      <c r="A434" s="93" t="s">
        <v>755</v>
      </c>
      <c r="B434" s="36">
        <v>40756138688</v>
      </c>
      <c r="C434" s="36">
        <v>5335588348</v>
      </c>
      <c r="D434" s="37" t="s">
        <v>373</v>
      </c>
      <c r="E434" s="36">
        <v>600000002223957</v>
      </c>
      <c r="F434" s="38">
        <v>45932</v>
      </c>
      <c r="G434" s="38"/>
      <c r="H434" s="63"/>
      <c r="I434" s="43">
        <v>976.77</v>
      </c>
      <c r="J434" s="37" t="s">
        <v>19</v>
      </c>
      <c r="K434" s="62">
        <v>390.71</v>
      </c>
      <c r="L434" s="37"/>
      <c r="M434" s="37" t="s">
        <v>25</v>
      </c>
      <c r="N434" s="28"/>
      <c r="O434" s="28"/>
    </row>
    <row r="435" spans="1:15" x14ac:dyDescent="0.2">
      <c r="A435" s="93" t="s">
        <v>962</v>
      </c>
      <c r="B435" s="36">
        <v>14111064424</v>
      </c>
      <c r="C435" s="36">
        <v>5335588348</v>
      </c>
      <c r="D435" s="37" t="s">
        <v>373</v>
      </c>
      <c r="E435" s="36">
        <v>600000002234886</v>
      </c>
      <c r="F435" s="38">
        <v>45936</v>
      </c>
      <c r="G435" s="38"/>
      <c r="H435" s="63"/>
      <c r="I435" s="43">
        <v>976.17</v>
      </c>
      <c r="J435" s="37" t="s">
        <v>19</v>
      </c>
      <c r="K435" s="62">
        <v>390.47</v>
      </c>
      <c r="L435" s="37"/>
      <c r="M435" s="37" t="s">
        <v>25</v>
      </c>
      <c r="N435" s="50">
        <v>29867</v>
      </c>
      <c r="O435" s="28"/>
    </row>
    <row r="436" spans="1:15" x14ac:dyDescent="0.2">
      <c r="A436" s="37" t="s">
        <v>293</v>
      </c>
      <c r="B436" s="36"/>
      <c r="C436" s="36"/>
      <c r="D436" s="37" t="s">
        <v>189</v>
      </c>
      <c r="E436" s="36">
        <v>15282638</v>
      </c>
      <c r="F436" s="38">
        <v>45450</v>
      </c>
      <c r="G436" s="38">
        <v>45815</v>
      </c>
      <c r="H436" s="37"/>
      <c r="I436" s="43">
        <v>971.27</v>
      </c>
      <c r="J436" s="37"/>
      <c r="K436" s="37">
        <v>109.77</v>
      </c>
      <c r="L436" s="37"/>
      <c r="M436" s="37" t="s">
        <v>209</v>
      </c>
    </row>
    <row r="437" spans="1:15" x14ac:dyDescent="0.2">
      <c r="A437" s="93" t="s">
        <v>759</v>
      </c>
      <c r="B437" s="36">
        <v>29857545588</v>
      </c>
      <c r="C437" s="36"/>
      <c r="D437" s="37" t="s">
        <v>373</v>
      </c>
      <c r="E437" s="36">
        <v>600000001574545</v>
      </c>
      <c r="F437" s="38">
        <v>45750</v>
      </c>
      <c r="G437" s="38">
        <v>45757</v>
      </c>
      <c r="H437" s="37"/>
      <c r="I437" s="43">
        <v>900.82</v>
      </c>
      <c r="J437" s="37" t="s">
        <v>44</v>
      </c>
      <c r="K437" s="62">
        <v>360.34</v>
      </c>
      <c r="L437" s="37"/>
      <c r="M437" s="37" t="s">
        <v>25</v>
      </c>
      <c r="N437" s="50">
        <v>29989</v>
      </c>
      <c r="O437" s="28"/>
    </row>
    <row r="438" spans="1:15" s="60" customFormat="1" x14ac:dyDescent="0.2">
      <c r="A438" s="37" t="s">
        <v>651</v>
      </c>
      <c r="B438" s="37"/>
      <c r="C438" s="28"/>
      <c r="D438" s="37" t="s">
        <v>373</v>
      </c>
      <c r="E438" s="36">
        <v>600000001763935</v>
      </c>
      <c r="F438" s="50">
        <v>45813</v>
      </c>
      <c r="G438" s="50">
        <v>45816</v>
      </c>
      <c r="H438" s="37"/>
      <c r="I438" s="135">
        <v>864.83</v>
      </c>
      <c r="J438" s="37" t="s">
        <v>44</v>
      </c>
      <c r="K438" s="128">
        <v>345.93</v>
      </c>
      <c r="L438" s="37"/>
      <c r="M438" s="37" t="s">
        <v>25</v>
      </c>
      <c r="N438" s="50" t="s">
        <v>838</v>
      </c>
      <c r="O438" s="28"/>
    </row>
    <row r="439" spans="1:15" s="60" customFormat="1" x14ac:dyDescent="0.2">
      <c r="A439" s="37" t="s">
        <v>217</v>
      </c>
      <c r="B439" s="36">
        <v>10886555952</v>
      </c>
      <c r="C439" s="87">
        <v>5314399590</v>
      </c>
      <c r="D439" s="37" t="s">
        <v>218</v>
      </c>
      <c r="E439" s="36" t="s">
        <v>219</v>
      </c>
      <c r="F439" s="50">
        <v>45390</v>
      </c>
      <c r="G439" s="50"/>
      <c r="H439" s="37"/>
      <c r="I439" s="135">
        <v>830.77</v>
      </c>
      <c r="J439" s="37" t="s">
        <v>44</v>
      </c>
      <c r="K439" s="128">
        <v>128.77000000000001</v>
      </c>
      <c r="L439" s="37"/>
      <c r="M439" s="37" t="s">
        <v>47</v>
      </c>
      <c r="N439" s="20"/>
      <c r="O439" s="20"/>
    </row>
    <row r="440" spans="1:15" s="60" customFormat="1" x14ac:dyDescent="0.2">
      <c r="A440" s="22" t="s">
        <v>120</v>
      </c>
      <c r="B440" s="23">
        <v>43720717988</v>
      </c>
      <c r="C440" s="88"/>
      <c r="D440" s="22" t="s">
        <v>594</v>
      </c>
      <c r="E440" s="23">
        <v>793953036</v>
      </c>
      <c r="F440" s="81">
        <v>45653</v>
      </c>
      <c r="G440" s="81">
        <v>46018</v>
      </c>
      <c r="H440" s="22"/>
      <c r="I440" s="136">
        <v>802.5</v>
      </c>
      <c r="J440" s="22" t="s">
        <v>19</v>
      </c>
      <c r="K440" s="125">
        <f>112.5*0.6</f>
        <v>67.5</v>
      </c>
      <c r="L440" s="22"/>
      <c r="M440" s="22" t="s">
        <v>876</v>
      </c>
      <c r="N440" s="20" t="s">
        <v>595</v>
      </c>
      <c r="O440" s="20"/>
    </row>
    <row r="441" spans="1:15" s="60" customFormat="1" x14ac:dyDescent="0.2">
      <c r="A441" s="22" t="s">
        <v>120</v>
      </c>
      <c r="B441" s="23">
        <v>43720717988</v>
      </c>
      <c r="C441" s="88"/>
      <c r="D441" s="22" t="s">
        <v>594</v>
      </c>
      <c r="E441" s="23">
        <v>793953036</v>
      </c>
      <c r="F441" s="81">
        <v>45653</v>
      </c>
      <c r="G441" s="81">
        <v>46018</v>
      </c>
      <c r="H441" s="22"/>
      <c r="I441" s="136">
        <v>802.5</v>
      </c>
      <c r="J441" s="22" t="s">
        <v>19</v>
      </c>
      <c r="K441" s="125">
        <f>112.5*0.6</f>
        <v>67.5</v>
      </c>
      <c r="L441" s="22"/>
      <c r="M441" s="22" t="s">
        <v>876</v>
      </c>
      <c r="N441" s="20" t="s">
        <v>595</v>
      </c>
      <c r="O441" s="20"/>
    </row>
    <row r="442" spans="1:15" s="60" customFormat="1" x14ac:dyDescent="0.2">
      <c r="A442" s="22" t="s">
        <v>235</v>
      </c>
      <c r="B442" s="23">
        <v>7680022666</v>
      </c>
      <c r="C442" s="88"/>
      <c r="D442" s="22" t="s">
        <v>1014</v>
      </c>
      <c r="E442" s="23">
        <v>1216326224</v>
      </c>
      <c r="F442" s="81">
        <v>45419</v>
      </c>
      <c r="G442" s="81">
        <v>45784</v>
      </c>
      <c r="H442" s="22" t="s">
        <v>236</v>
      </c>
      <c r="I442" s="136">
        <v>785.74</v>
      </c>
      <c r="J442" s="22" t="s">
        <v>237</v>
      </c>
      <c r="K442" s="125">
        <f>61*0.6</f>
        <v>36.6</v>
      </c>
      <c r="L442" s="22"/>
      <c r="M442" s="22" t="s">
        <v>140</v>
      </c>
      <c r="N442" s="20" t="s">
        <v>240</v>
      </c>
      <c r="O442" s="20"/>
    </row>
    <row r="443" spans="1:15" s="37" customFormat="1" x14ac:dyDescent="0.2">
      <c r="A443" s="37" t="s">
        <v>985</v>
      </c>
      <c r="B443" s="137" t="s">
        <v>986</v>
      </c>
      <c r="C443" s="36"/>
      <c r="D443" s="37" t="s">
        <v>987</v>
      </c>
      <c r="E443" s="36">
        <v>603000001278929</v>
      </c>
      <c r="F443" s="38">
        <v>45974</v>
      </c>
      <c r="G443" s="38">
        <v>45974</v>
      </c>
      <c r="I443" s="43">
        <v>730</v>
      </c>
      <c r="J443" s="37" t="s">
        <v>20</v>
      </c>
      <c r="K443" s="37">
        <v>182.5</v>
      </c>
      <c r="M443" s="37" t="s">
        <v>25</v>
      </c>
      <c r="N443" s="37" t="s">
        <v>988</v>
      </c>
    </row>
    <row r="444" spans="1:15" s="37" customFormat="1" x14ac:dyDescent="0.2">
      <c r="A444" s="37" t="s">
        <v>570</v>
      </c>
      <c r="B444" s="36">
        <v>40609821774</v>
      </c>
      <c r="C444" s="36"/>
      <c r="D444" s="37" t="s">
        <v>568</v>
      </c>
      <c r="E444" s="36">
        <v>22135</v>
      </c>
      <c r="F444" s="38">
        <v>45643</v>
      </c>
      <c r="G444" s="38">
        <v>46008</v>
      </c>
      <c r="I444" s="43">
        <v>700</v>
      </c>
      <c r="J444" s="37" t="s">
        <v>19</v>
      </c>
      <c r="K444" s="37">
        <v>70</v>
      </c>
      <c r="M444" s="37" t="s">
        <v>186</v>
      </c>
      <c r="N444" s="46"/>
      <c r="O444" s="46"/>
    </row>
    <row r="445" spans="1:15" x14ac:dyDescent="0.2">
      <c r="A445" s="37" t="s">
        <v>570</v>
      </c>
      <c r="B445" s="36">
        <v>40609821774</v>
      </c>
      <c r="C445" s="36"/>
      <c r="D445" s="37" t="s">
        <v>568</v>
      </c>
      <c r="E445" s="36">
        <v>22135</v>
      </c>
      <c r="F445" s="38">
        <v>45643</v>
      </c>
      <c r="G445" s="38">
        <v>46008</v>
      </c>
      <c r="H445" s="37"/>
      <c r="I445" s="43">
        <v>700</v>
      </c>
      <c r="J445" s="37" t="s">
        <v>19</v>
      </c>
      <c r="K445" s="37">
        <v>70</v>
      </c>
      <c r="L445" s="37"/>
      <c r="M445" s="37" t="s">
        <v>186</v>
      </c>
    </row>
    <row r="446" spans="1:15" x14ac:dyDescent="0.2">
      <c r="A446" s="37" t="s">
        <v>23</v>
      </c>
      <c r="B446" s="36">
        <v>26533896866</v>
      </c>
      <c r="C446" s="36"/>
      <c r="D446" s="37" t="s">
        <v>303</v>
      </c>
      <c r="E446" s="36" t="s">
        <v>24</v>
      </c>
      <c r="F446" s="38">
        <v>45275</v>
      </c>
      <c r="G446" s="38"/>
      <c r="H446" s="37"/>
      <c r="I446" s="43">
        <v>644.97</v>
      </c>
      <c r="J446" s="37" t="s">
        <v>19</v>
      </c>
      <c r="K446" s="37">
        <v>116.09</v>
      </c>
      <c r="L446" s="37"/>
      <c r="M446" s="37" t="s">
        <v>22</v>
      </c>
      <c r="N446" s="20" t="s">
        <v>535</v>
      </c>
    </row>
    <row r="447" spans="1:15" x14ac:dyDescent="0.2">
      <c r="A447" s="22" t="s">
        <v>698</v>
      </c>
      <c r="B447" s="23">
        <v>15664999874</v>
      </c>
      <c r="C447" s="23"/>
      <c r="D447" s="22" t="s">
        <v>699</v>
      </c>
      <c r="E447" s="23">
        <v>110239925</v>
      </c>
      <c r="F447" s="24">
        <v>45713</v>
      </c>
      <c r="G447" s="24">
        <v>45713</v>
      </c>
      <c r="H447" s="22"/>
      <c r="I447" s="52">
        <v>630</v>
      </c>
      <c r="J447" s="22" t="s">
        <v>44</v>
      </c>
      <c r="K447" s="22">
        <v>36</v>
      </c>
      <c r="L447" s="22"/>
      <c r="M447" s="22" t="s">
        <v>140</v>
      </c>
      <c r="N447" s="20" t="s">
        <v>700</v>
      </c>
    </row>
    <row r="448" spans="1:15" x14ac:dyDescent="0.2">
      <c r="A448" s="37" t="s">
        <v>651</v>
      </c>
      <c r="B448" s="36">
        <v>44572687856</v>
      </c>
      <c r="C448" s="36"/>
      <c r="D448" s="37" t="s">
        <v>373</v>
      </c>
      <c r="E448" s="36">
        <v>600000001361473</v>
      </c>
      <c r="F448" s="38">
        <v>45680</v>
      </c>
      <c r="G448" s="38">
        <v>45680</v>
      </c>
      <c r="H448" s="37"/>
      <c r="I448" s="43">
        <v>557.66999999999996</v>
      </c>
      <c r="J448" s="37" t="s">
        <v>44</v>
      </c>
      <c r="K448" s="37">
        <v>223.07</v>
      </c>
      <c r="L448" s="37"/>
      <c r="M448" s="37" t="s">
        <v>25</v>
      </c>
    </row>
    <row r="449" spans="1:226" s="88" customFormat="1" x14ac:dyDescent="0.2">
      <c r="A449" s="37" t="s">
        <v>102</v>
      </c>
      <c r="B449" s="36">
        <v>18164569752</v>
      </c>
      <c r="C449" s="36"/>
      <c r="D449" s="37" t="s">
        <v>373</v>
      </c>
      <c r="E449" s="36">
        <v>600000000763646</v>
      </c>
      <c r="F449" s="38">
        <v>45489</v>
      </c>
      <c r="G449" s="38">
        <v>45854</v>
      </c>
      <c r="H449" s="37"/>
      <c r="I449" s="43">
        <v>251.11</v>
      </c>
      <c r="J449" s="37" t="s">
        <v>20</v>
      </c>
      <c r="K449" s="37">
        <v>125.55</v>
      </c>
      <c r="L449" s="37"/>
      <c r="M449" s="37" t="s">
        <v>25</v>
      </c>
      <c r="N449" s="20"/>
      <c r="O449" s="20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  <c r="CO449" s="34"/>
      <c r="CP449" s="34"/>
      <c r="CQ449" s="34"/>
      <c r="CR449" s="34"/>
      <c r="CS449" s="34"/>
      <c r="CT449" s="34"/>
      <c r="CU449" s="34"/>
      <c r="CV449" s="34"/>
      <c r="CW449" s="34"/>
      <c r="CX449" s="34"/>
      <c r="CY449" s="34"/>
      <c r="CZ449" s="34"/>
      <c r="DA449" s="34"/>
      <c r="DB449" s="34"/>
      <c r="DC449" s="34"/>
      <c r="DD449" s="34"/>
      <c r="DE449" s="34"/>
      <c r="DF449" s="34"/>
      <c r="DG449" s="34"/>
      <c r="DH449" s="34"/>
      <c r="DI449" s="34"/>
      <c r="DJ449" s="34"/>
      <c r="DK449" s="34"/>
      <c r="DL449" s="34"/>
      <c r="DM449" s="34"/>
      <c r="DN449" s="34"/>
      <c r="DO449" s="34"/>
      <c r="DP449" s="34"/>
      <c r="DQ449" s="34"/>
      <c r="DR449" s="34"/>
      <c r="DS449" s="34"/>
      <c r="DT449" s="34"/>
      <c r="DU449" s="34"/>
      <c r="DV449" s="34"/>
      <c r="DW449" s="34"/>
      <c r="DX449" s="34"/>
      <c r="DY449" s="34"/>
      <c r="DZ449" s="34"/>
      <c r="EA449" s="34"/>
      <c r="EB449" s="34"/>
      <c r="EC449" s="34"/>
      <c r="ED449" s="34"/>
      <c r="EE449" s="34"/>
      <c r="EF449" s="34"/>
      <c r="EG449" s="34"/>
      <c r="EH449" s="34"/>
      <c r="EI449" s="34"/>
      <c r="EJ449" s="34"/>
      <c r="EK449" s="34"/>
      <c r="EL449" s="34"/>
      <c r="EM449" s="34"/>
      <c r="EN449" s="34"/>
      <c r="EO449" s="34"/>
      <c r="EP449" s="34"/>
      <c r="EQ449" s="34"/>
      <c r="ER449" s="34"/>
      <c r="ES449" s="34"/>
      <c r="ET449" s="34"/>
      <c r="EU449" s="34"/>
      <c r="EV449" s="34"/>
      <c r="EW449" s="34"/>
      <c r="EX449" s="34"/>
      <c r="EY449" s="34"/>
      <c r="EZ449" s="34"/>
      <c r="FA449" s="34"/>
      <c r="FB449" s="34"/>
      <c r="FC449" s="34"/>
      <c r="FD449" s="34"/>
      <c r="FE449" s="34"/>
      <c r="FF449" s="34"/>
      <c r="FG449" s="34"/>
      <c r="FH449" s="34"/>
      <c r="FI449" s="34"/>
      <c r="FJ449" s="34"/>
      <c r="FK449" s="34"/>
      <c r="FL449" s="34"/>
      <c r="FM449" s="34"/>
      <c r="FN449" s="34"/>
      <c r="FO449" s="34"/>
      <c r="FP449" s="34"/>
      <c r="FQ449" s="34"/>
      <c r="FR449" s="34"/>
      <c r="FS449" s="34"/>
      <c r="FT449" s="34"/>
      <c r="FU449" s="34"/>
      <c r="FV449" s="34"/>
      <c r="FW449" s="34"/>
      <c r="FX449" s="34"/>
      <c r="FY449" s="34"/>
      <c r="FZ449" s="34"/>
      <c r="GA449" s="34"/>
      <c r="GB449" s="34"/>
      <c r="GC449" s="34"/>
      <c r="GD449" s="34"/>
      <c r="GE449" s="34"/>
      <c r="GF449" s="34"/>
      <c r="GG449" s="34"/>
      <c r="GH449" s="34"/>
      <c r="GI449" s="34"/>
      <c r="GJ449" s="34"/>
      <c r="GK449" s="34"/>
      <c r="GL449" s="34"/>
      <c r="GM449" s="34"/>
      <c r="GN449" s="34"/>
      <c r="GO449" s="34"/>
      <c r="GP449" s="34"/>
      <c r="GQ449" s="34"/>
      <c r="GR449" s="34"/>
      <c r="GS449" s="34"/>
      <c r="GT449" s="34"/>
      <c r="GU449" s="34"/>
      <c r="GV449" s="34"/>
      <c r="GW449" s="34"/>
      <c r="GX449" s="34"/>
      <c r="GY449" s="34"/>
      <c r="GZ449" s="34"/>
      <c r="HA449" s="34"/>
      <c r="HB449" s="34"/>
      <c r="HC449" s="34"/>
      <c r="HD449" s="34"/>
      <c r="HE449" s="34"/>
      <c r="HF449" s="34"/>
      <c r="HG449" s="34"/>
      <c r="HH449" s="34"/>
      <c r="HI449" s="34"/>
      <c r="HJ449" s="34"/>
      <c r="HK449" s="34"/>
      <c r="HL449" s="34"/>
      <c r="HM449" s="34"/>
      <c r="HN449" s="34"/>
      <c r="HO449" s="34"/>
      <c r="HP449" s="34"/>
      <c r="HQ449" s="34"/>
      <c r="HR449" s="34"/>
    </row>
    <row r="450" spans="1:226" x14ac:dyDescent="0.2">
      <c r="A450" s="37" t="s">
        <v>607</v>
      </c>
      <c r="B450" s="36">
        <v>15785037950</v>
      </c>
      <c r="C450" s="36"/>
      <c r="D450" s="37" t="s">
        <v>569</v>
      </c>
      <c r="E450" s="87">
        <v>165293</v>
      </c>
      <c r="F450" s="50">
        <v>45662</v>
      </c>
      <c r="G450" s="50">
        <v>45662</v>
      </c>
      <c r="H450" s="28"/>
      <c r="I450" s="135">
        <v>150</v>
      </c>
      <c r="J450" s="28" t="s">
        <v>44</v>
      </c>
      <c r="K450" s="28"/>
      <c r="L450" s="128"/>
      <c r="M450" s="128"/>
    </row>
    <row r="451" spans="1:226" s="88" customFormat="1" x14ac:dyDescent="0.2">
      <c r="A451" s="46" t="s">
        <v>263</v>
      </c>
      <c r="B451" s="47">
        <v>24413357100</v>
      </c>
      <c r="C451" s="47"/>
      <c r="D451" s="46" t="s">
        <v>671</v>
      </c>
      <c r="E451" s="47">
        <v>282175</v>
      </c>
      <c r="F451" s="48">
        <v>45685</v>
      </c>
      <c r="G451" s="48"/>
      <c r="H451" s="46"/>
      <c r="I451" s="49">
        <v>150</v>
      </c>
      <c r="J451" s="46" t="s">
        <v>44</v>
      </c>
      <c r="K451" s="46"/>
      <c r="L451" s="46"/>
      <c r="M451" s="46" t="s">
        <v>670</v>
      </c>
      <c r="N451" s="20"/>
      <c r="O451" s="20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  <c r="CO451" s="34"/>
      <c r="CP451" s="34"/>
      <c r="CQ451" s="34"/>
      <c r="CR451" s="34"/>
      <c r="CS451" s="34"/>
      <c r="CT451" s="34"/>
      <c r="CU451" s="34"/>
      <c r="CV451" s="34"/>
      <c r="CW451" s="34"/>
      <c r="CX451" s="34"/>
      <c r="CY451" s="34"/>
      <c r="CZ451" s="34"/>
      <c r="DA451" s="34"/>
      <c r="DB451" s="34"/>
      <c r="DC451" s="34"/>
      <c r="DD451" s="34"/>
      <c r="DE451" s="34"/>
      <c r="DF451" s="34"/>
      <c r="DG451" s="34"/>
      <c r="DH451" s="34"/>
      <c r="DI451" s="34"/>
      <c r="DJ451" s="34"/>
      <c r="DK451" s="34"/>
      <c r="DL451" s="34"/>
      <c r="DM451" s="34"/>
      <c r="DN451" s="34"/>
      <c r="DO451" s="34"/>
      <c r="DP451" s="34"/>
      <c r="DQ451" s="34"/>
      <c r="DR451" s="34"/>
      <c r="DS451" s="34"/>
      <c r="DT451" s="34"/>
      <c r="DU451" s="34"/>
      <c r="DV451" s="34"/>
      <c r="DW451" s="34"/>
      <c r="DX451" s="34"/>
      <c r="DY451" s="34"/>
      <c r="DZ451" s="34"/>
      <c r="EA451" s="34"/>
      <c r="EB451" s="34"/>
      <c r="EC451" s="34"/>
      <c r="ED451" s="34"/>
      <c r="EE451" s="34"/>
      <c r="EF451" s="34"/>
      <c r="EG451" s="34"/>
      <c r="EH451" s="34"/>
      <c r="EI451" s="34"/>
      <c r="EJ451" s="34"/>
      <c r="EK451" s="34"/>
      <c r="EL451" s="34"/>
      <c r="EM451" s="34"/>
      <c r="EN451" s="34"/>
      <c r="EO451" s="34"/>
      <c r="EP451" s="34"/>
      <c r="EQ451" s="34"/>
      <c r="ER451" s="34"/>
      <c r="ES451" s="34"/>
      <c r="ET451" s="34"/>
      <c r="EU451" s="34"/>
      <c r="EV451" s="34"/>
      <c r="EW451" s="34"/>
      <c r="EX451" s="34"/>
      <c r="EY451" s="34"/>
      <c r="EZ451" s="34"/>
      <c r="FA451" s="34"/>
      <c r="FB451" s="34"/>
      <c r="FC451" s="34"/>
      <c r="FD451" s="34"/>
      <c r="FE451" s="34"/>
      <c r="FF451" s="34"/>
      <c r="FG451" s="34"/>
      <c r="FH451" s="34"/>
      <c r="FI451" s="34"/>
      <c r="FJ451" s="34"/>
      <c r="FK451" s="34"/>
      <c r="FL451" s="34"/>
      <c r="FM451" s="34"/>
      <c r="FN451" s="34"/>
      <c r="FO451" s="34"/>
      <c r="FP451" s="34"/>
      <c r="FQ451" s="34"/>
      <c r="FR451" s="34"/>
      <c r="FS451" s="34"/>
      <c r="FT451" s="34"/>
      <c r="FU451" s="34"/>
      <c r="FV451" s="34"/>
      <c r="FW451" s="34"/>
      <c r="FX451" s="34"/>
      <c r="FY451" s="34"/>
      <c r="FZ451" s="34"/>
      <c r="GA451" s="34"/>
      <c r="GB451" s="34"/>
      <c r="GC451" s="34"/>
      <c r="GD451" s="34"/>
      <c r="GE451" s="34"/>
      <c r="GF451" s="34"/>
      <c r="GG451" s="34"/>
      <c r="GH451" s="34"/>
      <c r="GI451" s="34"/>
      <c r="GJ451" s="34"/>
      <c r="GK451" s="34"/>
      <c r="GL451" s="34"/>
      <c r="GM451" s="34"/>
      <c r="GN451" s="34"/>
      <c r="GO451" s="34"/>
      <c r="GP451" s="34"/>
      <c r="GQ451" s="34"/>
      <c r="GR451" s="34"/>
      <c r="GS451" s="34"/>
      <c r="GT451" s="34"/>
      <c r="GU451" s="34"/>
      <c r="GV451" s="34"/>
      <c r="GW451" s="34"/>
      <c r="GX451" s="34"/>
      <c r="GY451" s="34"/>
      <c r="GZ451" s="34"/>
      <c r="HA451" s="34"/>
      <c r="HB451" s="34"/>
      <c r="HC451" s="34"/>
      <c r="HD451" s="34"/>
      <c r="HE451" s="34"/>
      <c r="HF451" s="34"/>
      <c r="HG451" s="34"/>
      <c r="HH451" s="34"/>
      <c r="HI451" s="34"/>
      <c r="HJ451" s="34"/>
      <c r="HK451" s="34"/>
      <c r="HL451" s="34"/>
      <c r="HM451" s="34"/>
      <c r="HN451" s="34"/>
      <c r="HO451" s="34"/>
      <c r="HP451" s="34"/>
      <c r="HQ451" s="34"/>
      <c r="HR451" s="34"/>
    </row>
    <row r="452" spans="1:226" s="34" customFormat="1" x14ac:dyDescent="0.2">
      <c r="A452" s="37" t="s">
        <v>570</v>
      </c>
      <c r="B452" s="36">
        <v>40609821774</v>
      </c>
      <c r="C452" s="36"/>
      <c r="D452" s="37" t="s">
        <v>569</v>
      </c>
      <c r="E452" s="36">
        <v>100000323264650</v>
      </c>
      <c r="F452" s="38">
        <v>45643</v>
      </c>
      <c r="G452" s="38">
        <v>46008</v>
      </c>
      <c r="H452" s="37"/>
      <c r="I452" s="43">
        <v>100</v>
      </c>
      <c r="J452" s="37" t="s">
        <v>19</v>
      </c>
      <c r="K452" s="37"/>
      <c r="L452" s="37"/>
      <c r="M452" s="37" t="s">
        <v>186</v>
      </c>
      <c r="N452" s="20"/>
      <c r="O452" s="20"/>
    </row>
    <row r="453" spans="1:226" s="34" customFormat="1" x14ac:dyDescent="0.2">
      <c r="A453" s="46" t="s">
        <v>589</v>
      </c>
      <c r="B453" s="47">
        <v>40444827160</v>
      </c>
      <c r="C453" s="47"/>
      <c r="D453" s="46" t="s">
        <v>569</v>
      </c>
      <c r="E453" s="47">
        <v>81551</v>
      </c>
      <c r="F453" s="48">
        <v>45651</v>
      </c>
      <c r="G453" s="48">
        <v>46016</v>
      </c>
      <c r="H453" s="46"/>
      <c r="I453" s="49">
        <v>100</v>
      </c>
      <c r="J453" s="46"/>
      <c r="K453" s="46"/>
      <c r="L453" s="46"/>
      <c r="M453" s="46"/>
      <c r="N453" s="20"/>
      <c r="O453" s="20"/>
    </row>
    <row r="454" spans="1:226" s="21" customFormat="1" x14ac:dyDescent="0.2">
      <c r="A454" s="37" t="s">
        <v>570</v>
      </c>
      <c r="B454" s="36">
        <v>40609821774</v>
      </c>
      <c r="C454" s="36"/>
      <c r="D454" s="37" t="s">
        <v>569</v>
      </c>
      <c r="E454" s="36">
        <v>100000323264650</v>
      </c>
      <c r="F454" s="38">
        <v>45643</v>
      </c>
      <c r="G454" s="38">
        <v>46008</v>
      </c>
      <c r="H454" s="37"/>
      <c r="I454" s="43">
        <v>100</v>
      </c>
      <c r="J454" s="37" t="s">
        <v>19</v>
      </c>
      <c r="K454" s="37"/>
      <c r="L454" s="37"/>
      <c r="M454" s="37" t="s">
        <v>186</v>
      </c>
      <c r="N454" s="20"/>
      <c r="O454" s="20"/>
    </row>
    <row r="455" spans="1:226" x14ac:dyDescent="0.2">
      <c r="A455" s="46" t="s">
        <v>589</v>
      </c>
      <c r="B455" s="47">
        <v>40444827160</v>
      </c>
      <c r="C455" s="47"/>
      <c r="D455" s="46" t="s">
        <v>569</v>
      </c>
      <c r="E455" s="47">
        <v>81551</v>
      </c>
      <c r="F455" s="48">
        <v>45651</v>
      </c>
      <c r="G455" s="48">
        <v>46016</v>
      </c>
      <c r="H455" s="46"/>
      <c r="I455" s="49">
        <v>100</v>
      </c>
      <c r="J455" s="46"/>
      <c r="K455" s="46"/>
      <c r="L455" s="46"/>
      <c r="M455" s="46"/>
    </row>
    <row r="456" spans="1:226" s="28" customFormat="1" x14ac:dyDescent="0.2">
      <c r="A456" s="138" t="s">
        <v>352</v>
      </c>
      <c r="B456" s="139">
        <v>38581298790</v>
      </c>
      <c r="C456" s="139">
        <v>5324280877</v>
      </c>
      <c r="D456" s="138" t="s">
        <v>104</v>
      </c>
      <c r="E456" s="139">
        <v>17338925</v>
      </c>
      <c r="F456" s="140">
        <v>45729</v>
      </c>
      <c r="G456" s="140">
        <v>45729</v>
      </c>
      <c r="H456" s="138"/>
      <c r="I456" s="141">
        <v>-1141.03</v>
      </c>
      <c r="J456" s="139" t="s">
        <v>19</v>
      </c>
      <c r="K456" s="138">
        <v>-217.1</v>
      </c>
      <c r="L456" s="142"/>
      <c r="M456" s="138" t="s">
        <v>209</v>
      </c>
      <c r="N456" s="79" t="s">
        <v>359</v>
      </c>
      <c r="O456" s="79"/>
    </row>
    <row r="457" spans="1:226" x14ac:dyDescent="0.2">
      <c r="A457" s="143" t="s">
        <v>760</v>
      </c>
      <c r="B457" s="144">
        <v>38509891744</v>
      </c>
      <c r="C457" s="144"/>
      <c r="D457" s="143" t="s">
        <v>27</v>
      </c>
      <c r="E457" s="144">
        <v>873000149</v>
      </c>
      <c r="F457" s="145">
        <v>45962</v>
      </c>
      <c r="G457" s="145">
        <v>45962</v>
      </c>
      <c r="H457" s="143" t="s">
        <v>946</v>
      </c>
      <c r="I457" s="146">
        <v>-7600.18</v>
      </c>
      <c r="J457" s="143" t="s">
        <v>19</v>
      </c>
      <c r="K457" s="147">
        <v>-388.01</v>
      </c>
      <c r="L457" s="143" t="s">
        <v>947</v>
      </c>
      <c r="M457" s="143" t="s">
        <v>752</v>
      </c>
      <c r="N457" s="122"/>
      <c r="O457" s="122"/>
    </row>
    <row r="458" spans="1:226" s="21" customFormat="1" x14ac:dyDescent="0.2">
      <c r="A458" s="143" t="s">
        <v>760</v>
      </c>
      <c r="B458" s="144">
        <v>38509891744</v>
      </c>
      <c r="C458" s="144">
        <v>5443521508</v>
      </c>
      <c r="D458" s="143" t="s">
        <v>27</v>
      </c>
      <c r="E458" s="144">
        <v>826811723</v>
      </c>
      <c r="F458" s="145">
        <v>45771</v>
      </c>
      <c r="G458" s="145">
        <v>45771</v>
      </c>
      <c r="H458" s="143" t="s">
        <v>761</v>
      </c>
      <c r="I458" s="146">
        <v>-11549.46</v>
      </c>
      <c r="J458" s="143" t="s">
        <v>19</v>
      </c>
      <c r="K458" s="143">
        <v>-742.61</v>
      </c>
      <c r="L458" s="143" t="s">
        <v>762</v>
      </c>
      <c r="M458" s="143" t="s">
        <v>757</v>
      </c>
      <c r="N458" s="148">
        <v>35935</v>
      </c>
      <c r="O458" s="122"/>
    </row>
    <row r="459" spans="1:226" x14ac:dyDescent="0.2">
      <c r="A459" s="143" t="s">
        <v>275</v>
      </c>
      <c r="B459" s="144">
        <v>21040245558</v>
      </c>
      <c r="C459" s="144"/>
      <c r="D459" s="143" t="s">
        <v>27</v>
      </c>
      <c r="E459" s="144">
        <v>2000217110935</v>
      </c>
      <c r="F459" s="145">
        <v>45919</v>
      </c>
      <c r="G459" s="145"/>
      <c r="H459" s="145" t="s">
        <v>906</v>
      </c>
      <c r="I459" s="146">
        <v>-11897.55</v>
      </c>
      <c r="J459" s="143" t="s">
        <v>19</v>
      </c>
      <c r="K459" s="143">
        <v>-637.36</v>
      </c>
      <c r="L459" s="143" t="s">
        <v>907</v>
      </c>
      <c r="M459" s="143" t="s">
        <v>185</v>
      </c>
      <c r="N459" s="122"/>
      <c r="O459" s="122"/>
    </row>
    <row r="460" spans="1:226" s="87" customFormat="1" x14ac:dyDescent="0.2">
      <c r="A460" s="143" t="s">
        <v>589</v>
      </c>
      <c r="B460" s="144">
        <v>40444827160</v>
      </c>
      <c r="C460" s="144"/>
      <c r="D460" s="143" t="s">
        <v>27</v>
      </c>
      <c r="E460" s="144">
        <v>100000326547050</v>
      </c>
      <c r="F460" s="145">
        <v>45754</v>
      </c>
      <c r="G460" s="145">
        <v>46016</v>
      </c>
      <c r="H460" s="143" t="s">
        <v>590</v>
      </c>
      <c r="I460" s="146">
        <v>-13639.61</v>
      </c>
      <c r="J460" s="143" t="s">
        <v>19</v>
      </c>
      <c r="K460" s="143">
        <v>-1255.56</v>
      </c>
      <c r="L460" s="143" t="s">
        <v>593</v>
      </c>
      <c r="M460" s="143" t="s">
        <v>186</v>
      </c>
      <c r="N460" s="122" t="s">
        <v>591</v>
      </c>
      <c r="O460" s="122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  <c r="CO460" s="34"/>
      <c r="CP460" s="34"/>
      <c r="CQ460" s="34"/>
      <c r="CR460" s="34"/>
      <c r="CS460" s="34"/>
      <c r="CT460" s="34"/>
      <c r="CU460" s="34"/>
      <c r="CV460" s="34"/>
      <c r="CW460" s="34"/>
      <c r="CX460" s="34"/>
      <c r="CY460" s="34"/>
      <c r="CZ460" s="34"/>
      <c r="DA460" s="34"/>
      <c r="DB460" s="34"/>
      <c r="DC460" s="34"/>
      <c r="DD460" s="34"/>
      <c r="DE460" s="34"/>
      <c r="DF460" s="34"/>
      <c r="DG460" s="34"/>
      <c r="DH460" s="34"/>
      <c r="DI460" s="34"/>
      <c r="DJ460" s="34"/>
      <c r="DK460" s="34"/>
      <c r="DL460" s="34"/>
      <c r="DM460" s="34"/>
      <c r="DN460" s="34"/>
      <c r="DO460" s="34"/>
      <c r="DP460" s="34"/>
      <c r="DQ460" s="34"/>
      <c r="DR460" s="34"/>
      <c r="DS460" s="34"/>
      <c r="DT460" s="34"/>
      <c r="DU460" s="34"/>
      <c r="DV460" s="34"/>
      <c r="DW460" s="34"/>
      <c r="DX460" s="34"/>
      <c r="DY460" s="34"/>
      <c r="DZ460" s="34"/>
      <c r="EA460" s="34"/>
      <c r="EB460" s="34"/>
      <c r="EC460" s="34"/>
      <c r="ED460" s="34"/>
      <c r="EE460" s="34"/>
      <c r="EF460" s="34"/>
      <c r="EG460" s="34"/>
      <c r="EH460" s="34"/>
      <c r="EI460" s="34"/>
      <c r="EJ460" s="34"/>
      <c r="EK460" s="34"/>
      <c r="EL460" s="34"/>
      <c r="EM460" s="34"/>
      <c r="EN460" s="34"/>
      <c r="EO460" s="34"/>
      <c r="EP460" s="34"/>
      <c r="EQ460" s="34"/>
      <c r="ER460" s="34"/>
      <c r="ES460" s="34"/>
      <c r="ET460" s="34"/>
      <c r="EU460" s="34"/>
      <c r="EV460" s="34"/>
      <c r="EW460" s="34"/>
      <c r="EX460" s="34"/>
      <c r="EY460" s="34"/>
      <c r="EZ460" s="34"/>
      <c r="FA460" s="34"/>
      <c r="FB460" s="34"/>
      <c r="FC460" s="34"/>
      <c r="FD460" s="34"/>
      <c r="FE460" s="34"/>
      <c r="FF460" s="34"/>
      <c r="FG460" s="34"/>
      <c r="FH460" s="34"/>
      <c r="FI460" s="34"/>
      <c r="FJ460" s="34"/>
      <c r="FK460" s="34"/>
      <c r="FL460" s="34"/>
      <c r="FM460" s="34"/>
      <c r="FN460" s="34"/>
      <c r="FO460" s="34"/>
      <c r="FP460" s="34"/>
      <c r="FQ460" s="34"/>
      <c r="FR460" s="34"/>
      <c r="FS460" s="34"/>
      <c r="FT460" s="34"/>
      <c r="FU460" s="34"/>
      <c r="FV460" s="34"/>
      <c r="FW460" s="34"/>
      <c r="FX460" s="34"/>
      <c r="FY460" s="34"/>
      <c r="FZ460" s="34"/>
      <c r="GA460" s="34"/>
      <c r="GB460" s="34"/>
      <c r="GC460" s="34"/>
      <c r="GD460" s="34"/>
      <c r="GE460" s="34"/>
      <c r="GF460" s="34"/>
      <c r="GG460" s="34"/>
      <c r="GH460" s="34"/>
      <c r="GI460" s="34"/>
      <c r="GJ460" s="34"/>
      <c r="GK460" s="34"/>
      <c r="GL460" s="34"/>
      <c r="GM460" s="34"/>
      <c r="GN460" s="34"/>
      <c r="GO460" s="34"/>
      <c r="GP460" s="34"/>
      <c r="GQ460" s="34"/>
      <c r="GR460" s="34"/>
      <c r="GS460" s="34"/>
      <c r="GT460" s="34"/>
      <c r="GU460" s="34"/>
      <c r="GV460" s="34"/>
      <c r="GW460" s="34"/>
      <c r="GX460" s="34"/>
      <c r="GY460" s="34"/>
      <c r="GZ460" s="34"/>
      <c r="HA460" s="34"/>
      <c r="HB460" s="34"/>
      <c r="HC460" s="34"/>
      <c r="HD460" s="34"/>
      <c r="HE460" s="34"/>
      <c r="HF460" s="34"/>
      <c r="HG460" s="34"/>
      <c r="HH460" s="34"/>
      <c r="HI460" s="34"/>
      <c r="HJ460" s="34"/>
      <c r="HK460" s="34"/>
      <c r="HL460" s="34"/>
      <c r="HM460" s="34"/>
      <c r="HN460" s="34"/>
      <c r="HO460" s="34"/>
      <c r="HP460" s="34"/>
      <c r="HQ460" s="34"/>
      <c r="HR460" s="34"/>
    </row>
    <row r="461" spans="1:226" s="87" customFormat="1" x14ac:dyDescent="0.2">
      <c r="A461" s="46" t="s">
        <v>14</v>
      </c>
      <c r="B461" s="47">
        <v>4540083266</v>
      </c>
      <c r="C461" s="47"/>
      <c r="D461" s="46" t="s">
        <v>27</v>
      </c>
      <c r="E461" s="47">
        <v>301000150583349</v>
      </c>
      <c r="F461" s="48">
        <v>45650</v>
      </c>
      <c r="G461" s="48">
        <v>46018</v>
      </c>
      <c r="H461" s="46" t="s">
        <v>581</v>
      </c>
      <c r="I461" s="49">
        <v>-16904.14</v>
      </c>
      <c r="J461" s="46" t="s">
        <v>20</v>
      </c>
      <c r="K461" s="46">
        <v>1528.4</v>
      </c>
      <c r="L461" s="46" t="s">
        <v>560</v>
      </c>
      <c r="M461" s="46" t="s">
        <v>25</v>
      </c>
      <c r="N461" s="20" t="s">
        <v>592</v>
      </c>
      <c r="O461" s="20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  <c r="CO461" s="34"/>
      <c r="CP461" s="34"/>
      <c r="CQ461" s="34"/>
      <c r="CR461" s="34"/>
      <c r="CS461" s="34"/>
      <c r="CT461" s="34"/>
      <c r="CU461" s="34"/>
      <c r="CV461" s="34"/>
      <c r="CW461" s="34"/>
      <c r="CX461" s="34"/>
      <c r="CY461" s="34"/>
      <c r="CZ461" s="34"/>
      <c r="DA461" s="34"/>
      <c r="DB461" s="34"/>
      <c r="DC461" s="34"/>
      <c r="DD461" s="34"/>
      <c r="DE461" s="34"/>
      <c r="DF461" s="34"/>
      <c r="DG461" s="34"/>
      <c r="DH461" s="34"/>
      <c r="DI461" s="34"/>
      <c r="DJ461" s="34"/>
      <c r="DK461" s="34"/>
      <c r="DL461" s="34"/>
      <c r="DM461" s="34"/>
      <c r="DN461" s="34"/>
      <c r="DO461" s="34"/>
      <c r="DP461" s="34"/>
      <c r="DQ461" s="34"/>
      <c r="DR461" s="34"/>
      <c r="DS461" s="34"/>
      <c r="DT461" s="34"/>
      <c r="DU461" s="34"/>
      <c r="DV461" s="34"/>
      <c r="DW461" s="34"/>
      <c r="DX461" s="34"/>
      <c r="DY461" s="34"/>
      <c r="DZ461" s="34"/>
      <c r="EA461" s="34"/>
      <c r="EB461" s="34"/>
      <c r="EC461" s="34"/>
      <c r="ED461" s="34"/>
      <c r="EE461" s="34"/>
      <c r="EF461" s="34"/>
      <c r="EG461" s="34"/>
      <c r="EH461" s="34"/>
      <c r="EI461" s="34"/>
      <c r="EJ461" s="34"/>
      <c r="EK461" s="34"/>
      <c r="EL461" s="34"/>
      <c r="EM461" s="34"/>
      <c r="EN461" s="34"/>
      <c r="EO461" s="34"/>
      <c r="EP461" s="34"/>
      <c r="EQ461" s="34"/>
      <c r="ER461" s="34"/>
      <c r="ES461" s="34"/>
      <c r="ET461" s="34"/>
      <c r="EU461" s="34"/>
      <c r="EV461" s="34"/>
      <c r="EW461" s="34"/>
      <c r="EX461" s="34"/>
      <c r="EY461" s="34"/>
      <c r="EZ461" s="34"/>
      <c r="FA461" s="34"/>
      <c r="FB461" s="34"/>
      <c r="FC461" s="34"/>
      <c r="FD461" s="34"/>
      <c r="FE461" s="34"/>
      <c r="FF461" s="34"/>
      <c r="FG461" s="34"/>
      <c r="FH461" s="34"/>
      <c r="FI461" s="34"/>
      <c r="FJ461" s="34"/>
      <c r="FK461" s="34"/>
      <c r="FL461" s="34"/>
      <c r="FM461" s="34"/>
      <c r="FN461" s="34"/>
      <c r="FO461" s="34"/>
      <c r="FP461" s="34"/>
      <c r="FQ461" s="34"/>
      <c r="FR461" s="34"/>
      <c r="FS461" s="34"/>
      <c r="FT461" s="34"/>
      <c r="FU461" s="34"/>
      <c r="FV461" s="34"/>
      <c r="FW461" s="34"/>
      <c r="FX461" s="34"/>
      <c r="FY461" s="34"/>
      <c r="FZ461" s="34"/>
      <c r="GA461" s="34"/>
      <c r="GB461" s="34"/>
      <c r="GC461" s="34"/>
      <c r="GD461" s="34"/>
      <c r="GE461" s="34"/>
      <c r="GF461" s="34"/>
      <c r="GG461" s="34"/>
      <c r="GH461" s="34"/>
      <c r="GI461" s="34"/>
      <c r="GJ461" s="34"/>
      <c r="GK461" s="34"/>
      <c r="GL461" s="34"/>
      <c r="GM461" s="34"/>
      <c r="GN461" s="34"/>
      <c r="GO461" s="34"/>
      <c r="GP461" s="34"/>
      <c r="GQ461" s="34"/>
      <c r="GR461" s="34"/>
      <c r="GS461" s="34"/>
      <c r="GT461" s="34"/>
      <c r="GU461" s="34"/>
      <c r="GV461" s="34"/>
      <c r="GW461" s="34"/>
      <c r="GX461" s="34"/>
      <c r="GY461" s="34"/>
      <c r="GZ461" s="34"/>
      <c r="HA461" s="34"/>
      <c r="HB461" s="34"/>
      <c r="HC461" s="34"/>
      <c r="HD461" s="34"/>
      <c r="HE461" s="34"/>
      <c r="HF461" s="34"/>
      <c r="HG461" s="34"/>
      <c r="HH461" s="34"/>
      <c r="HI461" s="34"/>
      <c r="HJ461" s="34"/>
      <c r="HK461" s="34"/>
      <c r="HL461" s="34"/>
      <c r="HM461" s="34"/>
      <c r="HN461" s="34"/>
      <c r="HO461" s="34"/>
      <c r="HP461" s="34"/>
      <c r="HQ461" s="34"/>
      <c r="HR461" s="34"/>
    </row>
    <row r="462" spans="1:226" s="28" customFormat="1" x14ac:dyDescent="0.2">
      <c r="A462" s="46" t="s">
        <v>14</v>
      </c>
      <c r="B462" s="47">
        <v>4540083266</v>
      </c>
      <c r="C462" s="47"/>
      <c r="D462" s="46" t="s">
        <v>27</v>
      </c>
      <c r="E462" s="47">
        <v>301000150583349</v>
      </c>
      <c r="F462" s="48">
        <v>45650</v>
      </c>
      <c r="G462" s="48">
        <v>46018</v>
      </c>
      <c r="H462" s="46" t="s">
        <v>581</v>
      </c>
      <c r="I462" s="49">
        <v>-16904.14</v>
      </c>
      <c r="J462" s="46" t="s">
        <v>20</v>
      </c>
      <c r="K462" s="46">
        <v>1528.4</v>
      </c>
      <c r="L462" s="46" t="s">
        <v>560</v>
      </c>
      <c r="M462" s="46" t="s">
        <v>25</v>
      </c>
      <c r="N462" s="20" t="s">
        <v>592</v>
      </c>
      <c r="O462" s="20"/>
    </row>
    <row r="463" spans="1:226" x14ac:dyDescent="0.2">
      <c r="A463" s="143" t="s">
        <v>450</v>
      </c>
      <c r="B463" s="144">
        <v>6211022844</v>
      </c>
      <c r="C463" s="144"/>
      <c r="D463" s="143" t="s">
        <v>27</v>
      </c>
      <c r="E463" s="144">
        <v>863397272</v>
      </c>
      <c r="F463" s="145">
        <v>45870</v>
      </c>
      <c r="G463" s="145">
        <v>45870</v>
      </c>
      <c r="H463" s="143" t="s">
        <v>901</v>
      </c>
      <c r="I463" s="146">
        <v>-59895.13</v>
      </c>
      <c r="J463" s="143" t="s">
        <v>20</v>
      </c>
      <c r="K463" s="147">
        <v>-5005.43</v>
      </c>
      <c r="L463" s="143" t="s">
        <v>902</v>
      </c>
      <c r="M463" s="143" t="s">
        <v>751</v>
      </c>
      <c r="N463" s="122"/>
      <c r="O463" s="122"/>
    </row>
    <row r="464" spans="1:226" s="28" customFormat="1" x14ac:dyDescent="0.2">
      <c r="A464" s="138" t="s">
        <v>450</v>
      </c>
      <c r="B464" s="139">
        <v>6211022844</v>
      </c>
      <c r="C464" s="139"/>
      <c r="D464" s="138" t="s">
        <v>27</v>
      </c>
      <c r="E464" s="139">
        <v>863400325</v>
      </c>
      <c r="F464" s="140">
        <v>45870</v>
      </c>
      <c r="G464" s="140">
        <v>45870</v>
      </c>
      <c r="H464" s="138" t="s">
        <v>904</v>
      </c>
      <c r="I464" s="149">
        <v>-59895.13</v>
      </c>
      <c r="J464" s="138" t="s">
        <v>20</v>
      </c>
      <c r="K464" s="150">
        <v>-5005.43</v>
      </c>
      <c r="L464" s="138" t="s">
        <v>903</v>
      </c>
      <c r="M464" s="122" t="s">
        <v>751</v>
      </c>
      <c r="N464" s="122"/>
      <c r="O464" s="122"/>
    </row>
    <row r="465" spans="1:15" s="28" customFormat="1" x14ac:dyDescent="0.2">
      <c r="A465" s="46" t="s">
        <v>8</v>
      </c>
      <c r="B465" s="47">
        <v>32249098692</v>
      </c>
      <c r="C465" s="47">
        <v>5464289890</v>
      </c>
      <c r="D465" s="46" t="s">
        <v>27</v>
      </c>
      <c r="E465" s="47"/>
      <c r="F465" s="48">
        <v>45272</v>
      </c>
      <c r="G465" s="48"/>
      <c r="H465" s="46" t="s">
        <v>9</v>
      </c>
      <c r="I465" s="49"/>
      <c r="J465" s="46"/>
      <c r="K465" s="46"/>
      <c r="L465" s="46" t="s">
        <v>548</v>
      </c>
      <c r="M465" s="46"/>
      <c r="N465" s="27">
        <v>32446</v>
      </c>
      <c r="O465" s="20"/>
    </row>
    <row r="466" spans="1:15" s="28" customFormat="1" x14ac:dyDescent="0.2">
      <c r="A466" s="46" t="s">
        <v>8</v>
      </c>
      <c r="B466" s="47">
        <v>32249098692</v>
      </c>
      <c r="C466" s="47">
        <v>5464289890</v>
      </c>
      <c r="D466" s="46" t="s">
        <v>31</v>
      </c>
      <c r="E466" s="47"/>
      <c r="F466" s="48">
        <v>45272</v>
      </c>
      <c r="G466" s="48"/>
      <c r="H466" s="46" t="s">
        <v>9</v>
      </c>
      <c r="I466" s="49"/>
      <c r="J466" s="46"/>
      <c r="K466" s="46"/>
      <c r="L466" s="46" t="s">
        <v>548</v>
      </c>
      <c r="M466" s="46"/>
      <c r="N466" s="20"/>
      <c r="O466" s="20"/>
    </row>
    <row r="467" spans="1:15" s="34" customFormat="1" x14ac:dyDescent="0.2">
      <c r="A467" s="151" t="s">
        <v>232</v>
      </c>
      <c r="B467" s="152"/>
      <c r="C467" s="152"/>
      <c r="D467" s="153" t="s">
        <v>27</v>
      </c>
      <c r="E467" s="152"/>
      <c r="F467" s="154">
        <v>45300</v>
      </c>
      <c r="G467" s="154"/>
      <c r="H467" s="155" t="s">
        <v>233</v>
      </c>
      <c r="I467" s="156"/>
      <c r="J467" s="155" t="s">
        <v>20</v>
      </c>
      <c r="K467" s="151"/>
      <c r="L467" s="155" t="s">
        <v>234</v>
      </c>
      <c r="M467" s="151"/>
      <c r="N467" s="44"/>
      <c r="O467" s="44"/>
    </row>
    <row r="468" spans="1:15" s="28" customFormat="1" x14ac:dyDescent="0.2">
      <c r="A468" s="46" t="s">
        <v>13</v>
      </c>
      <c r="B468" s="47">
        <v>6211022844</v>
      </c>
      <c r="C468" s="47"/>
      <c r="D468" s="46" t="s">
        <v>27</v>
      </c>
      <c r="E468" s="47">
        <v>92291909</v>
      </c>
      <c r="F468" s="48">
        <v>45653</v>
      </c>
      <c r="G468" s="48"/>
      <c r="H468" s="46" t="s">
        <v>545</v>
      </c>
      <c r="I468" s="49"/>
      <c r="J468" s="46"/>
      <c r="K468" s="46"/>
      <c r="L468" s="46" t="s">
        <v>45</v>
      </c>
      <c r="M468" s="46" t="s">
        <v>46</v>
      </c>
      <c r="N468" s="20"/>
      <c r="O468" s="20"/>
    </row>
    <row r="469" spans="1:15" x14ac:dyDescent="0.2">
      <c r="A469" s="20" t="s">
        <v>70</v>
      </c>
      <c r="B469" s="34">
        <v>54562355016</v>
      </c>
      <c r="C469" s="34">
        <v>5446415487</v>
      </c>
      <c r="D469" s="20" t="s">
        <v>27</v>
      </c>
      <c r="F469" s="27">
        <v>45305</v>
      </c>
      <c r="H469" s="20" t="s">
        <v>71</v>
      </c>
      <c r="I469" s="157"/>
      <c r="J469" s="124"/>
      <c r="L469" s="20" t="s">
        <v>72</v>
      </c>
      <c r="N469" s="20" t="s">
        <v>73</v>
      </c>
    </row>
    <row r="470" spans="1:15" s="21" customFormat="1" x14ac:dyDescent="0.2">
      <c r="A470" s="46" t="s">
        <v>181</v>
      </c>
      <c r="B470" s="47">
        <v>13268889072</v>
      </c>
      <c r="C470" s="47"/>
      <c r="D470" s="46" t="s">
        <v>27</v>
      </c>
      <c r="E470" s="47"/>
      <c r="F470" s="48">
        <v>45681</v>
      </c>
      <c r="G470" s="48"/>
      <c r="H470" s="46" t="s">
        <v>183</v>
      </c>
      <c r="I470" s="49"/>
      <c r="J470" s="46" t="s">
        <v>19</v>
      </c>
      <c r="K470" s="46"/>
      <c r="L470" s="46" t="s">
        <v>182</v>
      </c>
      <c r="M470" s="46"/>
      <c r="N470" s="20" t="s">
        <v>631</v>
      </c>
      <c r="O470" s="20"/>
    </row>
    <row r="471" spans="1:15" s="21" customFormat="1" x14ac:dyDescent="0.2">
      <c r="A471" s="64" t="s">
        <v>13</v>
      </c>
      <c r="B471" s="34"/>
      <c r="C471" s="34"/>
      <c r="D471" s="158" t="s">
        <v>27</v>
      </c>
      <c r="E471" s="34"/>
      <c r="F471" s="27">
        <v>45317</v>
      </c>
      <c r="G471" s="27"/>
      <c r="H471" s="34" t="s">
        <v>113</v>
      </c>
      <c r="I471" s="157"/>
      <c r="J471" s="124"/>
      <c r="K471" s="20"/>
      <c r="L471" s="20"/>
      <c r="M471" s="124"/>
      <c r="N471" s="20" t="s">
        <v>114</v>
      </c>
      <c r="O471" s="20"/>
    </row>
    <row r="472" spans="1:15" x14ac:dyDescent="0.2">
      <c r="A472" s="46" t="s">
        <v>94</v>
      </c>
      <c r="B472" s="47">
        <v>48694550494</v>
      </c>
      <c r="C472" s="47">
        <v>5464039888</v>
      </c>
      <c r="D472" s="46" t="s">
        <v>27</v>
      </c>
      <c r="E472" s="47" t="s">
        <v>659</v>
      </c>
      <c r="F472" s="48">
        <v>45324</v>
      </c>
      <c r="G472" s="48">
        <v>45693</v>
      </c>
      <c r="H472" s="46" t="s">
        <v>184</v>
      </c>
      <c r="I472" s="49"/>
      <c r="J472" s="46" t="s">
        <v>95</v>
      </c>
      <c r="K472" s="46"/>
      <c r="L472" s="46" t="s">
        <v>96</v>
      </c>
      <c r="M472" s="46"/>
      <c r="N472" s="20" t="s">
        <v>662</v>
      </c>
    </row>
    <row r="473" spans="1:15" s="34" customFormat="1" x14ac:dyDescent="0.2">
      <c r="A473" s="155" t="s">
        <v>13</v>
      </c>
      <c r="B473" s="159">
        <v>6211022844</v>
      </c>
      <c r="C473" s="159"/>
      <c r="D473" s="155" t="s">
        <v>27</v>
      </c>
      <c r="E473" s="159" t="s">
        <v>660</v>
      </c>
      <c r="F473" s="160">
        <v>45326</v>
      </c>
      <c r="G473" s="160"/>
      <c r="H473" s="155" t="s">
        <v>115</v>
      </c>
      <c r="I473" s="161"/>
      <c r="J473" s="155"/>
      <c r="K473" s="155"/>
      <c r="L473" s="155" t="s">
        <v>657</v>
      </c>
      <c r="M473" s="155"/>
      <c r="N473" s="20" t="s">
        <v>117</v>
      </c>
      <c r="O473" s="20"/>
    </row>
    <row r="474" spans="1:15" s="28" customFormat="1" x14ac:dyDescent="0.2">
      <c r="A474" s="155" t="s">
        <v>13</v>
      </c>
      <c r="B474" s="159">
        <v>6211022844</v>
      </c>
      <c r="C474" s="159"/>
      <c r="D474" s="155" t="s">
        <v>27</v>
      </c>
      <c r="E474" s="159" t="s">
        <v>661</v>
      </c>
      <c r="F474" s="160">
        <v>45329</v>
      </c>
      <c r="G474" s="160"/>
      <c r="H474" s="159" t="s">
        <v>116</v>
      </c>
      <c r="I474" s="161"/>
      <c r="J474" s="155"/>
      <c r="K474" s="155"/>
      <c r="L474" s="155" t="s">
        <v>658</v>
      </c>
      <c r="M474" s="155"/>
      <c r="N474" s="20" t="s">
        <v>117</v>
      </c>
      <c r="O474" s="20"/>
    </row>
    <row r="475" spans="1:15" s="28" customFormat="1" x14ac:dyDescent="0.2">
      <c r="A475" s="46" t="s">
        <v>134</v>
      </c>
      <c r="B475" s="47">
        <v>450040418</v>
      </c>
      <c r="C475" s="47"/>
      <c r="D475" s="46" t="s">
        <v>27</v>
      </c>
      <c r="E475" s="47"/>
      <c r="F475" s="48">
        <v>45332</v>
      </c>
      <c r="G475" s="48"/>
      <c r="H475" s="47" t="s">
        <v>135</v>
      </c>
      <c r="I475" s="49"/>
      <c r="J475" s="46"/>
      <c r="K475" s="46"/>
      <c r="L475" s="46" t="s">
        <v>137</v>
      </c>
      <c r="M475" s="46"/>
      <c r="N475" s="20" t="s">
        <v>136</v>
      </c>
      <c r="O475" s="20"/>
    </row>
    <row r="476" spans="1:15" x14ac:dyDescent="0.2">
      <c r="A476" s="46" t="s">
        <v>144</v>
      </c>
      <c r="B476" s="47">
        <v>10067965532</v>
      </c>
      <c r="C476" s="47"/>
      <c r="D476" s="46" t="s">
        <v>42</v>
      </c>
      <c r="E476" s="47"/>
      <c r="F476" s="48">
        <v>45355</v>
      </c>
      <c r="G476" s="48"/>
      <c r="H476" s="46"/>
      <c r="I476" s="49"/>
      <c r="J476" s="46" t="s">
        <v>19</v>
      </c>
      <c r="K476" s="46"/>
      <c r="L476" s="46" t="s">
        <v>143</v>
      </c>
      <c r="M476" s="46"/>
      <c r="N476" s="20" t="s">
        <v>142</v>
      </c>
    </row>
    <row r="477" spans="1:15" s="34" customFormat="1" x14ac:dyDescent="0.2">
      <c r="A477" s="155" t="s">
        <v>153</v>
      </c>
      <c r="B477" s="159">
        <v>26105394998</v>
      </c>
      <c r="C477" s="159"/>
      <c r="D477" s="155" t="s">
        <v>31</v>
      </c>
      <c r="E477" s="159"/>
      <c r="F477" s="160">
        <v>45586</v>
      </c>
      <c r="G477" s="160"/>
      <c r="H477" s="155"/>
      <c r="I477" s="161"/>
      <c r="J477" s="155"/>
      <c r="K477" s="155"/>
      <c r="L477" s="155"/>
      <c r="M477" s="155"/>
      <c r="N477" s="20"/>
      <c r="O477" s="20"/>
    </row>
    <row r="478" spans="1:15" x14ac:dyDescent="0.2">
      <c r="A478" s="155" t="s">
        <v>188</v>
      </c>
      <c r="B478" s="159">
        <v>6120683563</v>
      </c>
      <c r="C478" s="159"/>
      <c r="D478" s="155" t="s">
        <v>189</v>
      </c>
      <c r="E478" s="47">
        <v>109579121</v>
      </c>
      <c r="F478" s="160">
        <v>45365</v>
      </c>
      <c r="G478" s="160"/>
      <c r="H478" s="155"/>
      <c r="I478" s="161"/>
      <c r="J478" s="155"/>
      <c r="K478" s="155"/>
      <c r="L478" s="155"/>
      <c r="M478" s="155" t="s">
        <v>190</v>
      </c>
    </row>
    <row r="479" spans="1:15" x14ac:dyDescent="0.2">
      <c r="A479" s="155" t="s">
        <v>176</v>
      </c>
      <c r="B479" s="159">
        <v>15217104786</v>
      </c>
      <c r="C479" s="159"/>
      <c r="D479" s="155" t="s">
        <v>42</v>
      </c>
      <c r="E479" s="159"/>
      <c r="F479" s="160"/>
      <c r="G479" s="160"/>
      <c r="H479" s="155" t="s">
        <v>178</v>
      </c>
      <c r="I479" s="161"/>
      <c r="J479" s="155"/>
      <c r="K479" s="155"/>
      <c r="L479" s="155"/>
      <c r="M479" s="155"/>
    </row>
    <row r="480" spans="1:15" s="28" customFormat="1" x14ac:dyDescent="0.2">
      <c r="A480" s="46" t="s">
        <v>188</v>
      </c>
      <c r="B480" s="159">
        <v>6120683563</v>
      </c>
      <c r="C480" s="47"/>
      <c r="D480" s="155" t="s">
        <v>189</v>
      </c>
      <c r="E480" s="47"/>
      <c r="F480" s="48">
        <v>45378</v>
      </c>
      <c r="G480" s="48"/>
      <c r="H480" s="46"/>
      <c r="I480" s="49"/>
      <c r="J480" s="46"/>
      <c r="K480" s="162"/>
      <c r="L480" s="46"/>
      <c r="M480" s="46"/>
      <c r="N480" s="20"/>
      <c r="O480" s="20"/>
    </row>
    <row r="481" spans="1:57" s="28" customFormat="1" x14ac:dyDescent="0.2">
      <c r="A481" s="46" t="s">
        <v>196</v>
      </c>
      <c r="B481" s="47">
        <v>16174573318</v>
      </c>
      <c r="C481" s="47"/>
      <c r="D481" s="46" t="s">
        <v>27</v>
      </c>
      <c r="E481" s="47"/>
      <c r="F481" s="48">
        <v>45380</v>
      </c>
      <c r="G481" s="48"/>
      <c r="H481" s="46" t="s">
        <v>197</v>
      </c>
      <c r="I481" s="49"/>
      <c r="J481" s="46"/>
      <c r="K481" s="162"/>
      <c r="L481" s="46"/>
      <c r="M481" s="46"/>
      <c r="N481" s="20" t="s">
        <v>25</v>
      </c>
      <c r="O481" s="20"/>
    </row>
    <row r="482" spans="1:57" s="28" customFormat="1" x14ac:dyDescent="0.2">
      <c r="A482" s="46" t="s">
        <v>216</v>
      </c>
      <c r="B482" s="47">
        <v>66379090752</v>
      </c>
      <c r="C482" s="47"/>
      <c r="D482" s="155" t="s">
        <v>27</v>
      </c>
      <c r="E482" s="47"/>
      <c r="F482" s="48">
        <v>45386</v>
      </c>
      <c r="G482" s="48"/>
      <c r="H482" s="46" t="s">
        <v>214</v>
      </c>
      <c r="I482" s="49"/>
      <c r="J482" s="46"/>
      <c r="K482" s="46"/>
      <c r="L482" s="46" t="s">
        <v>215</v>
      </c>
      <c r="M482" s="46"/>
      <c r="N482" s="20" t="s">
        <v>213</v>
      </c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</row>
    <row r="483" spans="1:57" s="28" customFormat="1" x14ac:dyDescent="0.2">
      <c r="A483" s="46" t="s">
        <v>216</v>
      </c>
      <c r="B483" s="47">
        <v>66379090752</v>
      </c>
      <c r="C483" s="47"/>
      <c r="D483" s="46" t="s">
        <v>31</v>
      </c>
      <c r="E483" s="47"/>
      <c r="F483" s="48">
        <v>45386</v>
      </c>
      <c r="G483" s="48"/>
      <c r="H483" s="46" t="s">
        <v>214</v>
      </c>
      <c r="I483" s="49"/>
      <c r="J483" s="46"/>
      <c r="K483" s="46"/>
      <c r="L483" s="46" t="s">
        <v>215</v>
      </c>
      <c r="M483" s="46"/>
      <c r="N483" s="20"/>
      <c r="O483" s="20"/>
    </row>
    <row r="484" spans="1:57" x14ac:dyDescent="0.2">
      <c r="A484" s="46" t="s">
        <v>246</v>
      </c>
      <c r="B484" s="46">
        <v>41044761434</v>
      </c>
      <c r="C484" s="47"/>
      <c r="D484" s="46" t="s">
        <v>27</v>
      </c>
      <c r="E484" s="47"/>
      <c r="F484" s="160"/>
      <c r="G484" s="48">
        <v>45792</v>
      </c>
      <c r="H484" s="46" t="s">
        <v>248</v>
      </c>
      <c r="I484" s="49"/>
      <c r="J484" s="46" t="s">
        <v>19</v>
      </c>
      <c r="K484" s="46"/>
      <c r="L484" s="48">
        <v>32787</v>
      </c>
      <c r="M484" s="46"/>
      <c r="N484" s="20" t="s">
        <v>244</v>
      </c>
    </row>
    <row r="485" spans="1:57" x14ac:dyDescent="0.2">
      <c r="A485" s="46" t="s">
        <v>246</v>
      </c>
      <c r="B485" s="46">
        <v>41044761434</v>
      </c>
      <c r="C485" s="47"/>
      <c r="D485" s="46" t="s">
        <v>31</v>
      </c>
      <c r="E485" s="47"/>
      <c r="F485" s="160"/>
      <c r="G485" s="48">
        <v>45794</v>
      </c>
      <c r="H485" s="46" t="s">
        <v>248</v>
      </c>
      <c r="I485" s="49"/>
      <c r="J485" s="46" t="s">
        <v>19</v>
      </c>
      <c r="K485" s="46"/>
      <c r="L485" s="46"/>
      <c r="M485" s="46"/>
    </row>
    <row r="486" spans="1:57" x14ac:dyDescent="0.2">
      <c r="A486" s="46" t="s">
        <v>247</v>
      </c>
      <c r="B486" s="46">
        <v>41245754754</v>
      </c>
      <c r="C486" s="47"/>
      <c r="D486" s="46" t="s">
        <v>27</v>
      </c>
      <c r="E486" s="47"/>
      <c r="F486" s="160"/>
      <c r="G486" s="48">
        <v>45792</v>
      </c>
      <c r="H486" s="46" t="s">
        <v>245</v>
      </c>
      <c r="I486" s="49"/>
      <c r="J486" s="46" t="s">
        <v>19</v>
      </c>
      <c r="K486" s="46"/>
      <c r="L486" s="48">
        <v>32230</v>
      </c>
      <c r="M486" s="46"/>
      <c r="N486" s="20" t="s">
        <v>249</v>
      </c>
    </row>
    <row r="487" spans="1:57" x14ac:dyDescent="0.2">
      <c r="A487" s="46" t="s">
        <v>247</v>
      </c>
      <c r="B487" s="46">
        <v>41245754754</v>
      </c>
      <c r="C487" s="47"/>
      <c r="D487" s="46" t="s">
        <v>31</v>
      </c>
      <c r="E487" s="47"/>
      <c r="F487" s="160"/>
      <c r="G487" s="48">
        <v>45793</v>
      </c>
      <c r="H487" s="46" t="s">
        <v>245</v>
      </c>
      <c r="I487" s="49"/>
      <c r="J487" s="46" t="s">
        <v>19</v>
      </c>
      <c r="K487" s="46"/>
      <c r="L487" s="46"/>
      <c r="M487" s="46"/>
    </row>
    <row r="488" spans="1:57" x14ac:dyDescent="0.2">
      <c r="A488" s="46" t="s">
        <v>250</v>
      </c>
      <c r="B488" s="46">
        <v>6180054278</v>
      </c>
      <c r="C488" s="47"/>
      <c r="D488" s="46" t="s">
        <v>189</v>
      </c>
      <c r="E488" s="47"/>
      <c r="F488" s="48"/>
      <c r="G488" s="48">
        <v>45800</v>
      </c>
      <c r="H488" s="163"/>
      <c r="I488" s="49"/>
      <c r="J488" s="46" t="s">
        <v>44</v>
      </c>
      <c r="K488" s="46"/>
      <c r="L488" s="46"/>
      <c r="M488" s="46" t="s">
        <v>251</v>
      </c>
      <c r="N488" s="20" t="s">
        <v>252</v>
      </c>
    </row>
    <row r="489" spans="1:57" s="28" customFormat="1" x14ac:dyDescent="0.2">
      <c r="A489" s="124" t="s">
        <v>253</v>
      </c>
      <c r="B489" s="20">
        <v>30647427700</v>
      </c>
      <c r="C489" s="34"/>
      <c r="D489" s="124" t="s">
        <v>104</v>
      </c>
      <c r="E489" s="34"/>
      <c r="F489" s="48"/>
      <c r="G489" s="48">
        <v>45800</v>
      </c>
      <c r="H489" s="20"/>
      <c r="I489" s="157"/>
      <c r="J489" s="20" t="s">
        <v>19</v>
      </c>
      <c r="K489" s="20"/>
      <c r="L489" s="48">
        <v>31395</v>
      </c>
      <c r="M489" s="20" t="s">
        <v>190</v>
      </c>
      <c r="N489" s="20" t="s">
        <v>254</v>
      </c>
      <c r="O489" s="20"/>
    </row>
    <row r="490" spans="1:57" s="28" customFormat="1" x14ac:dyDescent="0.2">
      <c r="A490" s="46" t="s">
        <v>267</v>
      </c>
      <c r="B490" s="47">
        <v>38506089144</v>
      </c>
      <c r="C490" s="47">
        <v>5342238844</v>
      </c>
      <c r="D490" s="46" t="s">
        <v>27</v>
      </c>
      <c r="E490" s="47"/>
      <c r="F490" s="48"/>
      <c r="G490" s="48">
        <v>45819</v>
      </c>
      <c r="H490" s="46" t="s">
        <v>265</v>
      </c>
      <c r="I490" s="49"/>
      <c r="J490" s="46" t="s">
        <v>19</v>
      </c>
      <c r="K490" s="46"/>
      <c r="L490" s="48" t="s">
        <v>266</v>
      </c>
      <c r="M490" s="46"/>
      <c r="N490" s="20"/>
      <c r="O490" s="20"/>
    </row>
    <row r="491" spans="1:57" s="28" customFormat="1" x14ac:dyDescent="0.2">
      <c r="A491" s="155" t="s">
        <v>289</v>
      </c>
      <c r="B491" s="159" t="s">
        <v>288</v>
      </c>
      <c r="C491" s="159"/>
      <c r="D491" s="155" t="s">
        <v>290</v>
      </c>
      <c r="E491" s="164"/>
      <c r="F491" s="160">
        <v>45449</v>
      </c>
      <c r="G491" s="160">
        <v>45814</v>
      </c>
      <c r="H491" s="155"/>
      <c r="I491" s="161"/>
      <c r="J491" s="155" t="s">
        <v>237</v>
      </c>
      <c r="K491" s="155"/>
      <c r="L491" s="155"/>
      <c r="M491" s="155" t="s">
        <v>185</v>
      </c>
      <c r="N491" s="20" t="s">
        <v>291</v>
      </c>
      <c r="O491" s="20"/>
    </row>
    <row r="492" spans="1:57" x14ac:dyDescent="0.2">
      <c r="A492" s="46" t="s">
        <v>295</v>
      </c>
      <c r="B492" s="47">
        <v>1280416935</v>
      </c>
      <c r="C492" s="47"/>
      <c r="D492" s="46" t="s">
        <v>31</v>
      </c>
      <c r="E492" s="47"/>
      <c r="F492" s="160"/>
      <c r="G492" s="160"/>
      <c r="H492" s="155" t="s">
        <v>299</v>
      </c>
      <c r="I492" s="49"/>
      <c r="J492" s="46"/>
      <c r="K492" s="46"/>
      <c r="L492" s="46"/>
      <c r="M492" s="46"/>
    </row>
    <row r="493" spans="1:57" s="28" customFormat="1" x14ac:dyDescent="0.2">
      <c r="A493" s="46" t="s">
        <v>313</v>
      </c>
      <c r="B493" s="47">
        <v>2150595484</v>
      </c>
      <c r="C493" s="47"/>
      <c r="D493" s="47" t="s">
        <v>42</v>
      </c>
      <c r="E493" s="47"/>
      <c r="F493" s="160"/>
      <c r="G493" s="160">
        <v>45822</v>
      </c>
      <c r="H493" s="155" t="s">
        <v>314</v>
      </c>
      <c r="I493" s="49"/>
      <c r="J493" s="47" t="s">
        <v>20</v>
      </c>
      <c r="K493" s="46"/>
      <c r="L493" s="46" t="s">
        <v>315</v>
      </c>
      <c r="M493" s="47" t="s">
        <v>316</v>
      </c>
      <c r="N493" s="20"/>
      <c r="O493" s="34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</row>
    <row r="494" spans="1:57" s="21" customFormat="1" ht="12" thickBot="1" x14ac:dyDescent="0.25">
      <c r="A494" s="165" t="s">
        <v>317</v>
      </c>
      <c r="B494" s="166">
        <v>29854545642</v>
      </c>
      <c r="C494" s="166"/>
      <c r="D494" s="166" t="s">
        <v>327</v>
      </c>
      <c r="E494" s="166"/>
      <c r="F494" s="167"/>
      <c r="G494" s="167">
        <v>45822</v>
      </c>
      <c r="H494" s="168" t="s">
        <v>318</v>
      </c>
      <c r="I494" s="169"/>
      <c r="J494" s="166" t="s">
        <v>19</v>
      </c>
      <c r="K494" s="165"/>
      <c r="L494" s="165" t="s">
        <v>319</v>
      </c>
      <c r="M494" s="166"/>
      <c r="N494" s="27" t="s">
        <v>320</v>
      </c>
      <c r="O494" s="34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</row>
    <row r="495" spans="1:57" s="143" customFormat="1" ht="12" thickBot="1" x14ac:dyDescent="0.25">
      <c r="A495" s="170" t="s">
        <v>329</v>
      </c>
      <c r="B495" s="171">
        <v>63826350766</v>
      </c>
      <c r="C495" s="171">
        <v>5367388932</v>
      </c>
      <c r="D495" s="171" t="s">
        <v>327</v>
      </c>
      <c r="E495" s="172"/>
      <c r="F495" s="173"/>
      <c r="G495" s="173">
        <v>45842</v>
      </c>
      <c r="H495" s="174" t="s">
        <v>330</v>
      </c>
      <c r="I495" s="175"/>
      <c r="J495" s="171" t="s">
        <v>44</v>
      </c>
      <c r="K495" s="176"/>
      <c r="L495" s="176" t="s">
        <v>332</v>
      </c>
      <c r="M495" s="47"/>
      <c r="N495" s="46" t="s">
        <v>331</v>
      </c>
      <c r="O495" s="47"/>
    </row>
    <row r="496" spans="1:57" s="143" customFormat="1" ht="12" thickBot="1" x14ac:dyDescent="0.25">
      <c r="A496" s="177" t="s">
        <v>353</v>
      </c>
      <c r="B496" s="178">
        <v>41593394794</v>
      </c>
      <c r="C496" s="178">
        <v>5322158151</v>
      </c>
      <c r="D496" s="178" t="s">
        <v>327</v>
      </c>
      <c r="E496" s="178"/>
      <c r="F496" s="179"/>
      <c r="G496" s="179">
        <v>45839</v>
      </c>
      <c r="H496" s="180" t="s">
        <v>354</v>
      </c>
      <c r="I496" s="181"/>
      <c r="J496" s="178" t="s">
        <v>44</v>
      </c>
      <c r="K496" s="182"/>
      <c r="L496" s="182" t="s">
        <v>356</v>
      </c>
      <c r="M496" s="46"/>
      <c r="N496" s="46" t="s">
        <v>355</v>
      </c>
      <c r="O496" s="46"/>
    </row>
    <row r="497" spans="1:57" s="143" customFormat="1" ht="12" thickBot="1" x14ac:dyDescent="0.25">
      <c r="A497" s="177" t="s">
        <v>345</v>
      </c>
      <c r="B497" s="178">
        <v>10030035170</v>
      </c>
      <c r="C497" s="178"/>
      <c r="D497" s="183" t="s">
        <v>27</v>
      </c>
      <c r="E497" s="178"/>
      <c r="F497" s="179"/>
      <c r="G497" s="179">
        <v>45845</v>
      </c>
      <c r="H497" s="180" t="s">
        <v>346</v>
      </c>
      <c r="I497" s="181"/>
      <c r="J497" s="178" t="s">
        <v>19</v>
      </c>
      <c r="K497" s="182"/>
      <c r="L497" s="182" t="s">
        <v>348</v>
      </c>
      <c r="M497" s="46"/>
      <c r="N497" s="46" t="s">
        <v>347</v>
      </c>
      <c r="O497" s="46"/>
    </row>
    <row r="498" spans="1:57" s="143" customFormat="1" ht="12" thickBot="1" x14ac:dyDescent="0.25">
      <c r="A498" s="177" t="s">
        <v>350</v>
      </c>
      <c r="B498" s="178">
        <v>14315210580</v>
      </c>
      <c r="C498" s="178"/>
      <c r="D498" s="183" t="s">
        <v>27</v>
      </c>
      <c r="E498" s="178"/>
      <c r="F498" s="179"/>
      <c r="G498" s="179">
        <v>45851</v>
      </c>
      <c r="H498" s="180" t="s">
        <v>349</v>
      </c>
      <c r="I498" s="181"/>
      <c r="J498" s="178" t="s">
        <v>19</v>
      </c>
      <c r="K498" s="182"/>
      <c r="L498" s="182" t="s">
        <v>351</v>
      </c>
      <c r="M498" s="46"/>
      <c r="N498" s="46" t="s">
        <v>347</v>
      </c>
      <c r="O498" s="46"/>
    </row>
    <row r="499" spans="1:57" x14ac:dyDescent="0.2">
      <c r="A499" s="124" t="s">
        <v>376</v>
      </c>
      <c r="B499" s="34">
        <v>6120683563</v>
      </c>
      <c r="D499" s="124" t="s">
        <v>189</v>
      </c>
      <c r="F499" s="27">
        <v>45490</v>
      </c>
      <c r="G499" s="27">
        <v>45855</v>
      </c>
      <c r="H499" s="124"/>
      <c r="I499" s="157"/>
      <c r="L499" s="124"/>
    </row>
    <row r="500" spans="1:57" s="21" customFormat="1" x14ac:dyDescent="0.2">
      <c r="A500" s="46" t="s">
        <v>377</v>
      </c>
      <c r="B500" s="47">
        <v>6120683563</v>
      </c>
      <c r="C500" s="47"/>
      <c r="D500" s="46" t="s">
        <v>189</v>
      </c>
      <c r="E500" s="47"/>
      <c r="F500" s="48">
        <v>45490</v>
      </c>
      <c r="G500" s="48">
        <v>45855</v>
      </c>
      <c r="H500" s="46"/>
      <c r="I500" s="49"/>
      <c r="J500" s="46"/>
      <c r="K500" s="46"/>
      <c r="L500" s="46"/>
      <c r="M500" s="46"/>
      <c r="N500" s="20"/>
      <c r="O500" s="20"/>
    </row>
    <row r="501" spans="1:57" s="28" customFormat="1" x14ac:dyDescent="0.2">
      <c r="A501" s="46" t="s">
        <v>379</v>
      </c>
      <c r="B501" s="47">
        <v>35500599556</v>
      </c>
      <c r="C501" s="47">
        <v>5346010539</v>
      </c>
      <c r="D501" s="46" t="s">
        <v>27</v>
      </c>
      <c r="E501" s="47"/>
      <c r="F501" s="48">
        <v>45491</v>
      </c>
      <c r="G501" s="48">
        <v>45860</v>
      </c>
      <c r="H501" s="46" t="s">
        <v>380</v>
      </c>
      <c r="I501" s="49"/>
      <c r="J501" s="46"/>
      <c r="K501" s="46"/>
      <c r="L501" s="46" t="s">
        <v>381</v>
      </c>
      <c r="M501" s="46"/>
      <c r="N501" s="27">
        <v>26665</v>
      </c>
      <c r="O501" s="20"/>
    </row>
    <row r="502" spans="1:57" s="28" customFormat="1" x14ac:dyDescent="0.2">
      <c r="A502" s="46" t="s">
        <v>387</v>
      </c>
      <c r="B502" s="47">
        <v>16111301868</v>
      </c>
      <c r="C502" s="47"/>
      <c r="D502" s="46" t="s">
        <v>27</v>
      </c>
      <c r="E502" s="47"/>
      <c r="F502" s="48">
        <v>45495</v>
      </c>
      <c r="G502" s="48"/>
      <c r="H502" s="46" t="s">
        <v>386</v>
      </c>
      <c r="I502" s="49"/>
      <c r="J502" s="46" t="s">
        <v>19</v>
      </c>
      <c r="K502" s="46"/>
      <c r="L502" s="46" t="s">
        <v>385</v>
      </c>
      <c r="M502" s="46"/>
      <c r="N502" s="27" t="s">
        <v>384</v>
      </c>
      <c r="O502" s="20"/>
    </row>
    <row r="503" spans="1:57" x14ac:dyDescent="0.2">
      <c r="A503" s="46" t="s">
        <v>392</v>
      </c>
      <c r="B503" s="47">
        <v>30421768180</v>
      </c>
      <c r="C503" s="47">
        <v>5556112050</v>
      </c>
      <c r="D503" s="46" t="s">
        <v>27</v>
      </c>
      <c r="E503" s="47"/>
      <c r="F503" s="48">
        <v>45496</v>
      </c>
      <c r="G503" s="48">
        <v>45869</v>
      </c>
      <c r="H503" s="46" t="s">
        <v>391</v>
      </c>
      <c r="I503" s="49"/>
      <c r="J503" s="46" t="s">
        <v>19</v>
      </c>
      <c r="K503" s="46"/>
      <c r="L503" s="46" t="s">
        <v>390</v>
      </c>
      <c r="M503" s="46"/>
      <c r="N503" s="27" t="s">
        <v>389</v>
      </c>
    </row>
    <row r="504" spans="1:57" x14ac:dyDescent="0.2">
      <c r="A504" s="46" t="s">
        <v>401</v>
      </c>
      <c r="B504" s="47">
        <v>99613829580</v>
      </c>
      <c r="C504" s="47"/>
      <c r="D504" s="46" t="s">
        <v>31</v>
      </c>
      <c r="E504" s="47"/>
      <c r="F504" s="48">
        <v>45498</v>
      </c>
      <c r="G504" s="48">
        <v>45869</v>
      </c>
      <c r="H504" s="46" t="s">
        <v>402</v>
      </c>
      <c r="I504" s="49"/>
      <c r="J504" s="46" t="s">
        <v>20</v>
      </c>
      <c r="K504" s="46"/>
      <c r="L504" s="46"/>
      <c r="M504" s="46"/>
      <c r="N504" s="20" t="s">
        <v>405</v>
      </c>
    </row>
    <row r="505" spans="1:57" s="28" customFormat="1" x14ac:dyDescent="0.2">
      <c r="A505" s="46" t="s">
        <v>414</v>
      </c>
      <c r="B505" s="47">
        <v>31561730556</v>
      </c>
      <c r="C505" s="47"/>
      <c r="D505" s="46" t="s">
        <v>27</v>
      </c>
      <c r="E505" s="47"/>
      <c r="F505" s="48">
        <v>45502</v>
      </c>
      <c r="G505" s="48">
        <v>45503</v>
      </c>
      <c r="H505" s="46" t="s">
        <v>412</v>
      </c>
      <c r="I505" s="49"/>
      <c r="J505" s="46" t="s">
        <v>44</v>
      </c>
      <c r="K505" s="46"/>
      <c r="L505" s="46" t="s">
        <v>413</v>
      </c>
      <c r="M505" s="46"/>
      <c r="N505" s="20" t="s">
        <v>415</v>
      </c>
      <c r="O505" s="20"/>
    </row>
    <row r="506" spans="1:57" s="28" customFormat="1" x14ac:dyDescent="0.2">
      <c r="A506" s="46" t="s">
        <v>414</v>
      </c>
      <c r="B506" s="47">
        <v>31561730556</v>
      </c>
      <c r="C506" s="47"/>
      <c r="D506" s="46" t="s">
        <v>31</v>
      </c>
      <c r="E506" s="47"/>
      <c r="F506" s="48">
        <v>45502</v>
      </c>
      <c r="G506" s="48">
        <v>45870</v>
      </c>
      <c r="H506" s="46" t="s">
        <v>412</v>
      </c>
      <c r="I506" s="49"/>
      <c r="J506" s="46" t="s">
        <v>44</v>
      </c>
      <c r="K506" s="46"/>
      <c r="L506" s="46" t="s">
        <v>413</v>
      </c>
      <c r="M506" s="46"/>
      <c r="N506" s="20"/>
      <c r="O506" s="20"/>
    </row>
    <row r="507" spans="1:57" s="28" customFormat="1" x14ac:dyDescent="0.2">
      <c r="A507" s="155" t="s">
        <v>437</v>
      </c>
      <c r="B507" s="159">
        <v>69808191440</v>
      </c>
      <c r="C507" s="159"/>
      <c r="D507" s="155" t="s">
        <v>303</v>
      </c>
      <c r="E507" s="159" t="s">
        <v>438</v>
      </c>
      <c r="F507" s="160">
        <v>45519</v>
      </c>
      <c r="G507" s="160">
        <v>45884</v>
      </c>
      <c r="H507" s="155"/>
      <c r="I507" s="161"/>
      <c r="J507" s="155" t="s">
        <v>105</v>
      </c>
      <c r="K507" s="155"/>
      <c r="L507" s="155"/>
      <c r="M507" s="155"/>
      <c r="N507" s="20"/>
      <c r="O507" s="20"/>
    </row>
    <row r="508" spans="1:57" s="28" customFormat="1" x14ac:dyDescent="0.2">
      <c r="A508" s="46" t="s">
        <v>434</v>
      </c>
      <c r="B508" s="47">
        <v>12268663026</v>
      </c>
      <c r="C508" s="47"/>
      <c r="D508" s="46" t="s">
        <v>431</v>
      </c>
      <c r="E508" s="47"/>
      <c r="F508" s="48">
        <v>45526</v>
      </c>
      <c r="G508" s="48"/>
      <c r="H508" s="46" t="s">
        <v>432</v>
      </c>
      <c r="I508" s="49"/>
      <c r="J508" s="46" t="s">
        <v>19</v>
      </c>
      <c r="K508" s="46"/>
      <c r="L508" s="46" t="s">
        <v>436</v>
      </c>
      <c r="M508" s="46"/>
      <c r="N508" s="20" t="s">
        <v>433</v>
      </c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</row>
    <row r="509" spans="1:57" s="28" customFormat="1" x14ac:dyDescent="0.2">
      <c r="A509" s="46" t="s">
        <v>160</v>
      </c>
      <c r="B509" s="47">
        <v>46834465134</v>
      </c>
      <c r="C509" s="47"/>
      <c r="D509" s="47" t="s">
        <v>31</v>
      </c>
      <c r="E509" s="47"/>
      <c r="F509" s="48">
        <v>45539</v>
      </c>
      <c r="G509" s="48">
        <v>45904</v>
      </c>
      <c r="H509" s="46"/>
      <c r="I509" s="49"/>
      <c r="J509" s="46"/>
      <c r="K509" s="46"/>
      <c r="L509" s="46"/>
      <c r="M509" s="46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</row>
    <row r="510" spans="1:57" s="21" customFormat="1" x14ac:dyDescent="0.2">
      <c r="A510" s="165" t="s">
        <v>582</v>
      </c>
      <c r="B510" s="166">
        <v>8510713515</v>
      </c>
      <c r="C510" s="166"/>
      <c r="D510" s="165" t="s">
        <v>27</v>
      </c>
      <c r="E510" s="166"/>
      <c r="F510" s="184">
        <v>45551</v>
      </c>
      <c r="G510" s="184">
        <v>45916</v>
      </c>
      <c r="H510" s="165" t="s">
        <v>583</v>
      </c>
      <c r="I510" s="169"/>
      <c r="J510" s="165" t="s">
        <v>44</v>
      </c>
      <c r="K510" s="165"/>
      <c r="L510" s="165" t="s">
        <v>584</v>
      </c>
      <c r="M510" s="165"/>
      <c r="N510" s="20" t="s">
        <v>585</v>
      </c>
      <c r="O510" s="20"/>
    </row>
    <row r="511" spans="1:57" s="122" customFormat="1" x14ac:dyDescent="0.2">
      <c r="A511" s="155" t="s">
        <v>153</v>
      </c>
      <c r="B511" s="159">
        <v>26105394998</v>
      </c>
      <c r="C511" s="159"/>
      <c r="D511" s="159" t="s">
        <v>27</v>
      </c>
      <c r="E511" s="159"/>
      <c r="F511" s="160">
        <v>45552</v>
      </c>
      <c r="G511" s="160">
        <v>45917</v>
      </c>
      <c r="H511" s="155" t="s">
        <v>493</v>
      </c>
      <c r="I511" s="161"/>
      <c r="J511" s="155"/>
      <c r="K511" s="155"/>
      <c r="L511" s="155" t="s">
        <v>494</v>
      </c>
      <c r="M511" s="155"/>
      <c r="N511" s="20"/>
      <c r="O511" s="20"/>
    </row>
    <row r="512" spans="1:57" s="122" customFormat="1" x14ac:dyDescent="0.2">
      <c r="A512" s="155" t="s">
        <v>153</v>
      </c>
      <c r="B512" s="159">
        <v>26105394998</v>
      </c>
      <c r="C512" s="159"/>
      <c r="D512" s="159" t="s">
        <v>31</v>
      </c>
      <c r="E512" s="159"/>
      <c r="F512" s="160">
        <v>45552</v>
      </c>
      <c r="G512" s="160">
        <v>45917</v>
      </c>
      <c r="H512" s="155" t="s">
        <v>493</v>
      </c>
      <c r="I512" s="161"/>
      <c r="J512" s="155"/>
      <c r="K512" s="155"/>
      <c r="L512" s="155" t="s">
        <v>494</v>
      </c>
      <c r="M512" s="155"/>
      <c r="N512" s="20"/>
      <c r="O512" s="20"/>
    </row>
    <row r="513" spans="1:15" s="28" customFormat="1" x14ac:dyDescent="0.2">
      <c r="A513" s="155" t="s">
        <v>417</v>
      </c>
      <c r="B513" s="159">
        <v>19703341952</v>
      </c>
      <c r="C513" s="159"/>
      <c r="D513" s="155" t="s">
        <v>27</v>
      </c>
      <c r="E513" s="47"/>
      <c r="F513" s="48">
        <v>45556</v>
      </c>
      <c r="G513" s="48">
        <v>45928</v>
      </c>
      <c r="H513" s="46" t="s">
        <v>443</v>
      </c>
      <c r="I513" s="49"/>
      <c r="J513" s="46"/>
      <c r="K513" s="46"/>
      <c r="L513" s="46" t="s">
        <v>457</v>
      </c>
      <c r="M513" s="46"/>
      <c r="N513" s="20"/>
      <c r="O513" s="20"/>
    </row>
    <row r="514" spans="1:15" s="28" customFormat="1" x14ac:dyDescent="0.2">
      <c r="A514" s="155" t="s">
        <v>417</v>
      </c>
      <c r="B514" s="159">
        <v>19703341952</v>
      </c>
      <c r="C514" s="159"/>
      <c r="D514" s="155" t="s">
        <v>31</v>
      </c>
      <c r="E514" s="47"/>
      <c r="F514" s="48">
        <v>45556</v>
      </c>
      <c r="G514" s="48">
        <v>45928</v>
      </c>
      <c r="H514" s="46" t="s">
        <v>443</v>
      </c>
      <c r="I514" s="49"/>
      <c r="J514" s="46"/>
      <c r="K514" s="46"/>
      <c r="L514" s="46" t="s">
        <v>457</v>
      </c>
      <c r="M514" s="46"/>
      <c r="N514" s="20"/>
      <c r="O514" s="20"/>
    </row>
    <row r="515" spans="1:15" x14ac:dyDescent="0.2">
      <c r="A515" s="155" t="s">
        <v>450</v>
      </c>
      <c r="B515" s="47">
        <v>6211022844</v>
      </c>
      <c r="C515" s="159"/>
      <c r="D515" s="155" t="s">
        <v>27</v>
      </c>
      <c r="E515" s="47"/>
      <c r="F515" s="48">
        <v>45556</v>
      </c>
      <c r="G515" s="160">
        <v>45922</v>
      </c>
      <c r="H515" s="155" t="s">
        <v>445</v>
      </c>
      <c r="I515" s="49"/>
      <c r="J515" s="46" t="s">
        <v>20</v>
      </c>
      <c r="K515" s="46"/>
      <c r="L515" s="46" t="s">
        <v>455</v>
      </c>
      <c r="M515" s="46"/>
      <c r="N515" s="20" t="s">
        <v>456</v>
      </c>
    </row>
    <row r="516" spans="1:15" s="28" customFormat="1" x14ac:dyDescent="0.2">
      <c r="A516" s="46" t="s">
        <v>450</v>
      </c>
      <c r="B516" s="47">
        <v>6211022844</v>
      </c>
      <c r="C516" s="34"/>
      <c r="D516" s="124" t="s">
        <v>27</v>
      </c>
      <c r="E516" s="34"/>
      <c r="F516" s="27">
        <v>45560</v>
      </c>
      <c r="G516" s="185">
        <v>45925</v>
      </c>
      <c r="H516" s="64" t="s">
        <v>449</v>
      </c>
      <c r="I516" s="157"/>
      <c r="J516" s="124" t="s">
        <v>20</v>
      </c>
      <c r="K516" s="124"/>
      <c r="L516" s="20" t="s">
        <v>454</v>
      </c>
      <c r="M516" s="20"/>
      <c r="N516" s="20" t="s">
        <v>456</v>
      </c>
      <c r="O516" s="20"/>
    </row>
    <row r="517" spans="1:15" s="21" customFormat="1" x14ac:dyDescent="0.2">
      <c r="A517" s="20" t="s">
        <v>188</v>
      </c>
      <c r="B517" s="34">
        <v>6120683563</v>
      </c>
      <c r="C517" s="34"/>
      <c r="D517" s="124" t="s">
        <v>27</v>
      </c>
      <c r="E517" s="34"/>
      <c r="F517" s="27">
        <v>45560</v>
      </c>
      <c r="G517" s="27">
        <v>45925</v>
      </c>
      <c r="H517" s="20" t="s">
        <v>461</v>
      </c>
      <c r="I517" s="157"/>
      <c r="J517" s="124"/>
      <c r="K517" s="124"/>
      <c r="L517" s="20"/>
      <c r="M517" s="124"/>
      <c r="N517" s="20"/>
      <c r="O517" s="20"/>
    </row>
    <row r="518" spans="1:15" s="22" customFormat="1" x14ac:dyDescent="0.2">
      <c r="A518" s="46" t="s">
        <v>470</v>
      </c>
      <c r="B518" s="47">
        <v>48235180630</v>
      </c>
      <c r="C518" s="47"/>
      <c r="D518" s="46" t="s">
        <v>27</v>
      </c>
      <c r="E518" s="47"/>
      <c r="F518" s="48">
        <v>45567</v>
      </c>
      <c r="G518" s="48">
        <v>45932</v>
      </c>
      <c r="H518" s="46"/>
      <c r="I518" s="49"/>
      <c r="J518" s="46"/>
      <c r="K518" s="46"/>
      <c r="L518" s="46"/>
      <c r="M518" s="46"/>
      <c r="N518" s="46"/>
      <c r="O518" s="46"/>
    </row>
    <row r="519" spans="1:15" s="28" customFormat="1" x14ac:dyDescent="0.2">
      <c r="A519" s="20" t="s">
        <v>470</v>
      </c>
      <c r="B519" s="34">
        <v>48235180630</v>
      </c>
      <c r="C519" s="34"/>
      <c r="D519" s="124" t="s">
        <v>31</v>
      </c>
      <c r="E519" s="47"/>
      <c r="F519" s="27">
        <v>45583</v>
      </c>
      <c r="G519" s="27">
        <v>45948</v>
      </c>
      <c r="H519" s="20"/>
      <c r="I519" s="157"/>
      <c r="J519" s="124"/>
      <c r="K519" s="20"/>
      <c r="L519" s="20" t="s">
        <v>472</v>
      </c>
      <c r="M519" s="124"/>
      <c r="N519" s="20" t="s">
        <v>471</v>
      </c>
      <c r="O519" s="20"/>
    </row>
    <row r="520" spans="1:15" s="21" customFormat="1" x14ac:dyDescent="0.2">
      <c r="A520" s="46" t="s">
        <v>473</v>
      </c>
      <c r="B520" s="47">
        <v>47785931846</v>
      </c>
      <c r="C520" s="47"/>
      <c r="D520" s="46" t="s">
        <v>27</v>
      </c>
      <c r="E520" s="47"/>
      <c r="F520" s="48">
        <v>45568</v>
      </c>
      <c r="G520" s="48">
        <v>45933</v>
      </c>
      <c r="H520" s="46" t="s">
        <v>474</v>
      </c>
      <c r="I520" s="49"/>
      <c r="J520" s="46" t="s">
        <v>19</v>
      </c>
      <c r="K520" s="20"/>
      <c r="L520" s="46" t="s">
        <v>475</v>
      </c>
      <c r="M520" s="46"/>
      <c r="N520" s="27">
        <v>34422</v>
      </c>
      <c r="O520" s="20"/>
    </row>
    <row r="521" spans="1:15" s="21" customFormat="1" x14ac:dyDescent="0.2">
      <c r="A521" s="20" t="s">
        <v>480</v>
      </c>
      <c r="B521" s="34">
        <v>12353370532</v>
      </c>
      <c r="C521" s="34"/>
      <c r="D521" s="124" t="s">
        <v>27</v>
      </c>
      <c r="E521" s="34"/>
      <c r="F521" s="27">
        <v>45572</v>
      </c>
      <c r="G521" s="27"/>
      <c r="H521" s="20" t="s">
        <v>481</v>
      </c>
      <c r="I521" s="157"/>
      <c r="J521" s="124" t="s">
        <v>19</v>
      </c>
      <c r="K521" s="20"/>
      <c r="L521" s="20" t="s">
        <v>482</v>
      </c>
      <c r="M521" s="20"/>
      <c r="N521" s="27">
        <v>28131</v>
      </c>
      <c r="O521" s="20"/>
    </row>
    <row r="522" spans="1:15" s="46" customFormat="1" x14ac:dyDescent="0.2">
      <c r="A522" s="46" t="s">
        <v>485</v>
      </c>
      <c r="B522" s="47">
        <v>20183118880</v>
      </c>
      <c r="C522" s="47"/>
      <c r="D522" s="46" t="s">
        <v>27</v>
      </c>
      <c r="E522" s="47"/>
      <c r="F522" s="48">
        <v>45575</v>
      </c>
      <c r="G522" s="48">
        <v>45942</v>
      </c>
      <c r="H522" s="46" t="s">
        <v>486</v>
      </c>
      <c r="I522" s="49"/>
      <c r="J522" s="46" t="s">
        <v>19</v>
      </c>
      <c r="L522" s="46" t="s">
        <v>487</v>
      </c>
      <c r="N522" s="46" t="s">
        <v>488</v>
      </c>
    </row>
    <row r="523" spans="1:15" s="37" customFormat="1" x14ac:dyDescent="0.2">
      <c r="A523" s="46" t="s">
        <v>153</v>
      </c>
      <c r="B523" s="47">
        <v>26105394998</v>
      </c>
      <c r="C523" s="47"/>
      <c r="D523" s="46" t="s">
        <v>31</v>
      </c>
      <c r="E523" s="47"/>
      <c r="F523" s="48">
        <v>45586</v>
      </c>
      <c r="G523" s="48">
        <v>45951</v>
      </c>
      <c r="H523" s="46" t="s">
        <v>158</v>
      </c>
      <c r="I523" s="49"/>
      <c r="J523" s="46"/>
      <c r="K523" s="46"/>
      <c r="L523" s="46" t="s">
        <v>159</v>
      </c>
      <c r="M523" s="46"/>
      <c r="N523" s="46" t="s">
        <v>489</v>
      </c>
      <c r="O523" s="46"/>
    </row>
    <row r="524" spans="1:15" s="46" customFormat="1" x14ac:dyDescent="0.2">
      <c r="A524" s="46" t="s">
        <v>496</v>
      </c>
      <c r="B524" s="47">
        <v>69805191504</v>
      </c>
      <c r="C524" s="47"/>
      <c r="D524" s="46" t="s">
        <v>27</v>
      </c>
      <c r="E524" s="47"/>
      <c r="F524" s="48">
        <v>45583</v>
      </c>
      <c r="G524" s="48">
        <v>45948</v>
      </c>
      <c r="H524" s="46" t="s">
        <v>497</v>
      </c>
      <c r="I524" s="49"/>
      <c r="L524" s="46" t="s">
        <v>498</v>
      </c>
    </row>
    <row r="525" spans="1:15" s="46" customFormat="1" x14ac:dyDescent="0.2">
      <c r="A525" s="46" t="s">
        <v>508</v>
      </c>
      <c r="B525" s="47">
        <v>35758062376</v>
      </c>
      <c r="C525" s="47"/>
      <c r="D525" s="46" t="s">
        <v>27</v>
      </c>
      <c r="E525" s="47"/>
      <c r="F525" s="48">
        <v>45595</v>
      </c>
      <c r="G525" s="48"/>
      <c r="H525" s="46" t="s">
        <v>509</v>
      </c>
      <c r="I525" s="49"/>
      <c r="L525" s="46" t="s">
        <v>510</v>
      </c>
    </row>
    <row r="526" spans="1:15" s="94" customFormat="1" x14ac:dyDescent="0.2">
      <c r="A526" s="46" t="s">
        <v>531</v>
      </c>
      <c r="B526" s="47">
        <v>7440488200</v>
      </c>
      <c r="C526" s="47"/>
      <c r="D526" s="46" t="s">
        <v>27</v>
      </c>
      <c r="E526" s="47"/>
      <c r="F526" s="48">
        <v>45606</v>
      </c>
      <c r="G526" s="48">
        <v>45971</v>
      </c>
      <c r="H526" s="46" t="s">
        <v>524</v>
      </c>
      <c r="I526" s="49"/>
      <c r="J526" s="46" t="s">
        <v>19</v>
      </c>
      <c r="K526" s="46"/>
      <c r="L526" s="46" t="s">
        <v>532</v>
      </c>
      <c r="M526" s="46"/>
      <c r="N526" s="46"/>
      <c r="O526" s="46"/>
    </row>
    <row r="527" spans="1:15" s="60" customFormat="1" x14ac:dyDescent="0.2">
      <c r="A527" s="46" t="s">
        <v>528</v>
      </c>
      <c r="B527" s="47">
        <v>12215530302</v>
      </c>
      <c r="C527" s="47"/>
      <c r="D527" s="46" t="s">
        <v>27</v>
      </c>
      <c r="E527" s="47"/>
      <c r="F527" s="48">
        <v>45620</v>
      </c>
      <c r="G527" s="48"/>
      <c r="H527" s="46" t="s">
        <v>530</v>
      </c>
      <c r="I527" s="49"/>
      <c r="J527" s="46" t="s">
        <v>44</v>
      </c>
      <c r="K527" s="46"/>
      <c r="L527" s="46" t="s">
        <v>529</v>
      </c>
      <c r="M527" s="46"/>
      <c r="N527" s="27">
        <v>30759</v>
      </c>
      <c r="O527" s="20"/>
    </row>
    <row r="528" spans="1:15" s="70" customFormat="1" x14ac:dyDescent="0.2">
      <c r="A528" s="165" t="s">
        <v>56</v>
      </c>
      <c r="B528" s="165">
        <v>18242468410</v>
      </c>
      <c r="C528" s="47"/>
      <c r="D528" s="46" t="s">
        <v>27</v>
      </c>
      <c r="E528" s="47"/>
      <c r="F528" s="48">
        <v>45611</v>
      </c>
      <c r="G528" s="48">
        <v>45976</v>
      </c>
      <c r="H528" s="46" t="s">
        <v>812</v>
      </c>
      <c r="I528" s="49"/>
      <c r="J528" s="46"/>
      <c r="K528" s="46"/>
      <c r="L528" s="46" t="s">
        <v>619</v>
      </c>
      <c r="M528" s="46"/>
      <c r="N528" s="20" t="s">
        <v>534</v>
      </c>
      <c r="O528" s="20"/>
    </row>
    <row r="529" spans="1:57" s="70" customFormat="1" x14ac:dyDescent="0.2">
      <c r="A529" s="165" t="s">
        <v>537</v>
      </c>
      <c r="B529" s="166">
        <v>34267003184</v>
      </c>
      <c r="C529" s="47"/>
      <c r="D529" s="46" t="s">
        <v>27</v>
      </c>
      <c r="E529" s="47"/>
      <c r="F529" s="48">
        <v>45618</v>
      </c>
      <c r="G529" s="48">
        <v>45985</v>
      </c>
      <c r="H529" s="46" t="s">
        <v>538</v>
      </c>
      <c r="I529" s="49"/>
      <c r="J529" s="46"/>
      <c r="K529" s="46"/>
      <c r="L529" s="46" t="s">
        <v>539</v>
      </c>
      <c r="M529" s="46"/>
      <c r="N529" s="20" t="s">
        <v>540</v>
      </c>
      <c r="O529" s="20"/>
    </row>
    <row r="530" spans="1:57" s="28" customFormat="1" x14ac:dyDescent="0.2">
      <c r="A530" s="186" t="s">
        <v>537</v>
      </c>
      <c r="B530" s="187">
        <v>34267003184</v>
      </c>
      <c r="C530" s="187"/>
      <c r="D530" s="186" t="s">
        <v>31</v>
      </c>
      <c r="E530" s="187"/>
      <c r="F530" s="188">
        <v>45618</v>
      </c>
      <c r="G530" s="188">
        <v>45985</v>
      </c>
      <c r="H530" s="186" t="s">
        <v>538</v>
      </c>
      <c r="I530" s="189"/>
      <c r="J530" s="186"/>
      <c r="K530" s="186"/>
      <c r="L530" s="186" t="s">
        <v>539</v>
      </c>
      <c r="M530" s="186"/>
      <c r="N530" s="20"/>
      <c r="O530" s="20"/>
    </row>
    <row r="531" spans="1:57" s="28" customFormat="1" x14ac:dyDescent="0.2">
      <c r="A531" s="46" t="s">
        <v>541</v>
      </c>
      <c r="B531" s="47">
        <v>21182076850</v>
      </c>
      <c r="C531" s="187"/>
      <c r="D531" s="46" t="s">
        <v>27</v>
      </c>
      <c r="E531" s="47"/>
      <c r="F531" s="48">
        <v>45624</v>
      </c>
      <c r="G531" s="48">
        <v>45997</v>
      </c>
      <c r="H531" s="186" t="s">
        <v>542</v>
      </c>
      <c r="I531" s="49"/>
      <c r="J531" s="186"/>
      <c r="K531" s="46"/>
      <c r="L531" s="186" t="s">
        <v>543</v>
      </c>
      <c r="M531" s="46"/>
      <c r="N531" s="27" t="s">
        <v>547</v>
      </c>
      <c r="O531" s="20"/>
    </row>
    <row r="532" spans="1:57" s="70" customFormat="1" x14ac:dyDescent="0.2">
      <c r="A532" s="155" t="s">
        <v>544</v>
      </c>
      <c r="B532" s="159">
        <v>60139551224</v>
      </c>
      <c r="C532" s="159">
        <v>5428097254</v>
      </c>
      <c r="D532" s="155" t="s">
        <v>31</v>
      </c>
      <c r="E532" s="190"/>
      <c r="F532" s="160">
        <v>45633</v>
      </c>
      <c r="G532" s="160">
        <v>45998</v>
      </c>
      <c r="H532" s="155" t="s">
        <v>10</v>
      </c>
      <c r="I532" s="161"/>
      <c r="J532" s="155" t="s">
        <v>19</v>
      </c>
      <c r="K532" s="155"/>
      <c r="L532" s="155"/>
      <c r="M532" s="155"/>
      <c r="N532" s="20"/>
      <c r="O532" s="20"/>
    </row>
    <row r="533" spans="1:57" x14ac:dyDescent="0.2">
      <c r="A533" s="155" t="s">
        <v>549</v>
      </c>
      <c r="B533" s="159">
        <v>60139551224</v>
      </c>
      <c r="C533" s="159">
        <v>5428097254</v>
      </c>
      <c r="D533" s="155" t="s">
        <v>27</v>
      </c>
      <c r="E533" s="190"/>
      <c r="F533" s="160">
        <v>45633</v>
      </c>
      <c r="G533" s="160">
        <v>45998</v>
      </c>
      <c r="H533" s="155" t="s">
        <v>10</v>
      </c>
      <c r="I533" s="161"/>
      <c r="J533" s="155" t="s">
        <v>19</v>
      </c>
      <c r="K533" s="155"/>
      <c r="L533" s="155"/>
      <c r="M533" s="155"/>
    </row>
    <row r="534" spans="1:57" x14ac:dyDescent="0.2">
      <c r="A534" s="46" t="s">
        <v>555</v>
      </c>
      <c r="B534" s="47">
        <v>14584122782</v>
      </c>
      <c r="C534" s="47"/>
      <c r="D534" s="46" t="s">
        <v>27</v>
      </c>
      <c r="E534" s="47"/>
      <c r="F534" s="48">
        <v>45631</v>
      </c>
      <c r="G534" s="48">
        <v>46000</v>
      </c>
      <c r="H534" s="46" t="s">
        <v>553</v>
      </c>
      <c r="I534" s="49"/>
      <c r="J534" s="46" t="s">
        <v>19</v>
      </c>
      <c r="K534" s="46"/>
      <c r="L534" s="46" t="s">
        <v>554</v>
      </c>
      <c r="M534" s="46"/>
      <c r="N534" s="27">
        <v>32292</v>
      </c>
    </row>
    <row r="535" spans="1:57" s="64" customFormat="1" x14ac:dyDescent="0.2">
      <c r="A535" s="46" t="s">
        <v>555</v>
      </c>
      <c r="B535" s="47">
        <v>14584122782</v>
      </c>
      <c r="C535" s="47"/>
      <c r="D535" s="46" t="s">
        <v>31</v>
      </c>
      <c r="E535" s="47"/>
      <c r="F535" s="48">
        <v>45631</v>
      </c>
      <c r="G535" s="48">
        <v>46000</v>
      </c>
      <c r="H535" s="46" t="s">
        <v>553</v>
      </c>
      <c r="I535" s="49"/>
      <c r="J535" s="46" t="s">
        <v>19</v>
      </c>
      <c r="K535" s="46"/>
      <c r="L535" s="46" t="s">
        <v>554</v>
      </c>
      <c r="M535" s="46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</row>
    <row r="536" spans="1:57" s="64" customFormat="1" x14ac:dyDescent="0.2">
      <c r="A536" s="46" t="s">
        <v>33</v>
      </c>
      <c r="B536" s="47">
        <v>21518791600</v>
      </c>
      <c r="C536" s="47"/>
      <c r="D536" s="46" t="s">
        <v>27</v>
      </c>
      <c r="E536" s="47"/>
      <c r="F536" s="48">
        <v>45632</v>
      </c>
      <c r="G536" s="48">
        <v>45997</v>
      </c>
      <c r="H536" s="46" t="s">
        <v>579</v>
      </c>
      <c r="I536" s="49"/>
      <c r="J536" s="46" t="s">
        <v>44</v>
      </c>
      <c r="K536" s="46"/>
      <c r="L536" s="46" t="s">
        <v>580</v>
      </c>
      <c r="M536" s="46" t="s">
        <v>140</v>
      </c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</row>
    <row r="537" spans="1:57" s="70" customFormat="1" x14ac:dyDescent="0.2">
      <c r="A537" s="165" t="s">
        <v>13</v>
      </c>
      <c r="B537" s="166">
        <v>6211022844</v>
      </c>
      <c r="C537" s="166"/>
      <c r="D537" s="165" t="s">
        <v>27</v>
      </c>
      <c r="E537" s="166"/>
      <c r="F537" s="184">
        <v>45639</v>
      </c>
      <c r="G537" s="184">
        <v>46004</v>
      </c>
      <c r="H537" s="165" t="s">
        <v>11</v>
      </c>
      <c r="I537" s="169"/>
      <c r="J537" s="165" t="s">
        <v>20</v>
      </c>
      <c r="K537" s="165"/>
      <c r="L537" s="165" t="s">
        <v>561</v>
      </c>
      <c r="M537" s="165" t="s">
        <v>190</v>
      </c>
      <c r="N537" s="20" t="s">
        <v>565</v>
      </c>
      <c r="O537" s="20"/>
    </row>
    <row r="538" spans="1:57" s="37" customFormat="1" x14ac:dyDescent="0.2">
      <c r="A538" s="46" t="s">
        <v>13</v>
      </c>
      <c r="B538" s="47">
        <v>6211022844</v>
      </c>
      <c r="C538" s="47"/>
      <c r="D538" s="46" t="s">
        <v>27</v>
      </c>
      <c r="E538" s="47"/>
      <c r="F538" s="48">
        <v>45640</v>
      </c>
      <c r="G538" s="48">
        <v>46005</v>
      </c>
      <c r="H538" s="46" t="s">
        <v>18</v>
      </c>
      <c r="I538" s="49"/>
      <c r="J538" s="46" t="s">
        <v>20</v>
      </c>
      <c r="K538" s="46"/>
      <c r="L538" s="46" t="s">
        <v>559</v>
      </c>
      <c r="M538" s="46" t="s">
        <v>190</v>
      </c>
      <c r="N538" s="46" t="s">
        <v>565</v>
      </c>
      <c r="O538" s="46"/>
    </row>
    <row r="539" spans="1:57" s="37" customFormat="1" x14ac:dyDescent="0.2">
      <c r="A539" s="46" t="s">
        <v>352</v>
      </c>
      <c r="B539" s="47">
        <v>38581298790</v>
      </c>
      <c r="C539" s="47">
        <v>5324280877</v>
      </c>
      <c r="D539" s="46" t="s">
        <v>97</v>
      </c>
      <c r="E539" s="47"/>
      <c r="F539" s="48">
        <v>45640</v>
      </c>
      <c r="G539" s="48">
        <v>46005</v>
      </c>
      <c r="H539" s="46"/>
      <c r="I539" s="49"/>
      <c r="J539" s="46" t="s">
        <v>19</v>
      </c>
      <c r="K539" s="46"/>
      <c r="L539" s="46"/>
      <c r="M539" s="46"/>
      <c r="N539" s="46" t="s">
        <v>574</v>
      </c>
      <c r="O539" s="46"/>
    </row>
    <row r="540" spans="1:57" s="122" customFormat="1" x14ac:dyDescent="0.2">
      <c r="A540" s="165" t="s">
        <v>582</v>
      </c>
      <c r="B540" s="166">
        <v>8510713515</v>
      </c>
      <c r="C540" s="166"/>
      <c r="D540" s="165" t="s">
        <v>31</v>
      </c>
      <c r="E540" s="166"/>
      <c r="F540" s="184"/>
      <c r="G540" s="184"/>
      <c r="H540" s="165" t="s">
        <v>583</v>
      </c>
      <c r="I540" s="169"/>
      <c r="J540" s="165" t="s">
        <v>44</v>
      </c>
      <c r="K540" s="165"/>
      <c r="L540" s="165" t="s">
        <v>584</v>
      </c>
      <c r="M540" s="165"/>
      <c r="N540" s="20"/>
      <c r="O540" s="20"/>
    </row>
    <row r="541" spans="1:57" s="28" customFormat="1" x14ac:dyDescent="0.2">
      <c r="A541" s="46" t="s">
        <v>586</v>
      </c>
      <c r="B541" s="47">
        <v>38515891516</v>
      </c>
      <c r="C541" s="47"/>
      <c r="D541" s="46" t="s">
        <v>27</v>
      </c>
      <c r="E541" s="47"/>
      <c r="F541" s="48"/>
      <c r="G541" s="48"/>
      <c r="H541" s="46" t="s">
        <v>587</v>
      </c>
      <c r="I541" s="49"/>
      <c r="J541" s="46" t="s">
        <v>19</v>
      </c>
      <c r="K541" s="46"/>
      <c r="L541" s="46" t="s">
        <v>588</v>
      </c>
      <c r="M541" s="46"/>
      <c r="N541" s="20"/>
      <c r="O541" s="20"/>
    </row>
    <row r="542" spans="1:57" s="28" customFormat="1" x14ac:dyDescent="0.2">
      <c r="A542" s="46" t="s">
        <v>13</v>
      </c>
      <c r="B542" s="47">
        <v>6211022844</v>
      </c>
      <c r="C542" s="47"/>
      <c r="D542" s="46" t="s">
        <v>27</v>
      </c>
      <c r="E542" s="47">
        <v>92291909</v>
      </c>
      <c r="F542" s="48">
        <v>45653</v>
      </c>
      <c r="G542" s="48">
        <v>46018</v>
      </c>
      <c r="H542" s="46" t="s">
        <v>545</v>
      </c>
      <c r="I542" s="49"/>
      <c r="J542" s="46"/>
      <c r="K542" s="46"/>
      <c r="L542" s="46" t="s">
        <v>45</v>
      </c>
      <c r="M542" s="46" t="s">
        <v>46</v>
      </c>
      <c r="N542" s="20"/>
      <c r="O542" s="20"/>
    </row>
    <row r="543" spans="1:57" s="28" customFormat="1" x14ac:dyDescent="0.2">
      <c r="A543" s="46" t="s">
        <v>253</v>
      </c>
      <c r="B543" s="47">
        <v>30647427700</v>
      </c>
      <c r="C543" s="47"/>
      <c r="D543" s="46" t="s">
        <v>596</v>
      </c>
      <c r="E543" s="47"/>
      <c r="F543" s="48">
        <v>45653</v>
      </c>
      <c r="G543" s="48">
        <v>46019</v>
      </c>
      <c r="H543" s="46" t="s">
        <v>597</v>
      </c>
      <c r="I543" s="49"/>
      <c r="J543" s="46"/>
      <c r="K543" s="46"/>
      <c r="L543" s="46" t="s">
        <v>598</v>
      </c>
      <c r="M543" s="46"/>
      <c r="N543" s="20"/>
      <c r="O543" s="20"/>
    </row>
    <row r="544" spans="1:57" s="28" customFormat="1" x14ac:dyDescent="0.2">
      <c r="A544" s="46" t="s">
        <v>13</v>
      </c>
      <c r="B544" s="47"/>
      <c r="C544" s="47"/>
      <c r="D544" s="46" t="s">
        <v>27</v>
      </c>
      <c r="E544" s="47" t="s">
        <v>603</v>
      </c>
      <c r="F544" s="48">
        <v>45657</v>
      </c>
      <c r="G544" s="48">
        <v>46022</v>
      </c>
      <c r="H544" s="46" t="s">
        <v>604</v>
      </c>
      <c r="I544" s="49"/>
      <c r="J544" s="46"/>
      <c r="K544" s="46"/>
      <c r="L544" s="46"/>
      <c r="M544" s="46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</row>
    <row r="545" spans="1:57" s="21" customFormat="1" x14ac:dyDescent="0.2">
      <c r="A545" s="151" t="s">
        <v>232</v>
      </c>
      <c r="B545" s="152"/>
      <c r="C545" s="152"/>
      <c r="D545" s="153" t="s">
        <v>27</v>
      </c>
      <c r="E545" s="152"/>
      <c r="F545" s="154">
        <v>45666</v>
      </c>
      <c r="G545" s="154"/>
      <c r="H545" s="155" t="s">
        <v>233</v>
      </c>
      <c r="I545" s="156"/>
      <c r="J545" s="155" t="s">
        <v>20</v>
      </c>
      <c r="K545" s="151"/>
      <c r="L545" s="155" t="s">
        <v>612</v>
      </c>
      <c r="M545" s="151"/>
      <c r="N545" s="191">
        <v>28968</v>
      </c>
      <c r="O545" s="44"/>
    </row>
    <row r="546" spans="1:57" s="21" customFormat="1" x14ac:dyDescent="0.2">
      <c r="A546" s="46" t="s">
        <v>181</v>
      </c>
      <c r="B546" s="47">
        <v>13268889072</v>
      </c>
      <c r="C546" s="47"/>
      <c r="D546" s="46" t="s">
        <v>27</v>
      </c>
      <c r="E546" s="47"/>
      <c r="F546" s="48">
        <v>45681</v>
      </c>
      <c r="G546" s="48"/>
      <c r="H546" s="46" t="s">
        <v>183</v>
      </c>
      <c r="I546" s="49"/>
      <c r="J546" s="46" t="s">
        <v>19</v>
      </c>
      <c r="K546" s="46"/>
      <c r="L546" s="46" t="s">
        <v>182</v>
      </c>
      <c r="M546" s="46"/>
      <c r="N546" s="20" t="s">
        <v>631</v>
      </c>
      <c r="O546" s="20"/>
    </row>
    <row r="547" spans="1:57" s="21" customFormat="1" x14ac:dyDescent="0.2">
      <c r="A547" s="46" t="s">
        <v>678</v>
      </c>
      <c r="B547" s="47">
        <v>38863487478</v>
      </c>
      <c r="C547" s="47"/>
      <c r="D547" s="46" t="s">
        <v>327</v>
      </c>
      <c r="E547" s="47"/>
      <c r="F547" s="48">
        <v>45692</v>
      </c>
      <c r="G547" s="48">
        <v>45701</v>
      </c>
      <c r="H547" s="46" t="s">
        <v>679</v>
      </c>
      <c r="I547" s="49"/>
      <c r="J547" s="46"/>
      <c r="K547" s="46"/>
      <c r="L547" s="46" t="s">
        <v>681</v>
      </c>
      <c r="M547" s="46"/>
      <c r="N547" s="20" t="s">
        <v>680</v>
      </c>
      <c r="O547" s="20"/>
    </row>
    <row r="548" spans="1:57" s="28" customFormat="1" x14ac:dyDescent="0.2">
      <c r="A548" s="46" t="s">
        <v>684</v>
      </c>
      <c r="B548" s="47">
        <v>27163377466</v>
      </c>
      <c r="C548" s="47"/>
      <c r="D548" s="46" t="s">
        <v>42</v>
      </c>
      <c r="E548" s="47"/>
      <c r="F548" s="48">
        <v>45696</v>
      </c>
      <c r="G548" s="48">
        <v>45707</v>
      </c>
      <c r="H548" s="46" t="s">
        <v>685</v>
      </c>
      <c r="I548" s="49"/>
      <c r="J548" s="46"/>
      <c r="K548" s="46"/>
      <c r="L548" s="46" t="s">
        <v>686</v>
      </c>
      <c r="M548" s="46"/>
      <c r="N548" s="20" t="s">
        <v>687</v>
      </c>
      <c r="O548" s="20"/>
    </row>
    <row r="549" spans="1:57" s="28" customFormat="1" x14ac:dyDescent="0.2">
      <c r="A549" s="155" t="s">
        <v>153</v>
      </c>
      <c r="B549" s="159">
        <v>26105394998</v>
      </c>
      <c r="C549" s="159"/>
      <c r="D549" s="155" t="s">
        <v>31</v>
      </c>
      <c r="E549" s="159"/>
      <c r="F549" s="160">
        <v>45951</v>
      </c>
      <c r="G549" s="160"/>
      <c r="H549" s="155"/>
      <c r="I549" s="161"/>
      <c r="J549" s="155"/>
      <c r="K549" s="155"/>
      <c r="L549" s="155"/>
      <c r="M549" s="155"/>
      <c r="N549" s="20"/>
      <c r="O549" s="20"/>
    </row>
    <row r="550" spans="1:57" s="28" customFormat="1" x14ac:dyDescent="0.2">
      <c r="A550" s="112" t="s">
        <v>712</v>
      </c>
      <c r="B550" s="116">
        <v>42559882362</v>
      </c>
      <c r="C550" s="116"/>
      <c r="D550" s="112" t="s">
        <v>27</v>
      </c>
      <c r="E550" s="116"/>
      <c r="F550" s="118">
        <v>45724</v>
      </c>
      <c r="G550" s="118">
        <v>45724</v>
      </c>
      <c r="H550" s="192" t="s">
        <v>713</v>
      </c>
      <c r="I550" s="119"/>
      <c r="J550" s="112" t="s">
        <v>19</v>
      </c>
      <c r="K550" s="112"/>
      <c r="L550" s="112" t="s">
        <v>714</v>
      </c>
      <c r="M550" s="112" t="s">
        <v>715</v>
      </c>
      <c r="N550" s="44" t="s">
        <v>716</v>
      </c>
      <c r="O550" s="44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</row>
    <row r="551" spans="1:57" s="28" customFormat="1" x14ac:dyDescent="0.2">
      <c r="A551" s="155" t="s">
        <v>176</v>
      </c>
      <c r="B551" s="159">
        <v>15217104786</v>
      </c>
      <c r="C551" s="159"/>
      <c r="D551" s="155" t="s">
        <v>42</v>
      </c>
      <c r="E551" s="159"/>
      <c r="F551" s="160">
        <v>45734</v>
      </c>
      <c r="G551" s="160">
        <v>45736</v>
      </c>
      <c r="H551" s="155" t="s">
        <v>178</v>
      </c>
      <c r="I551" s="161"/>
      <c r="J551" s="155" t="s">
        <v>19</v>
      </c>
      <c r="K551" s="155"/>
      <c r="L551" s="155"/>
      <c r="M551" s="155"/>
      <c r="N551" s="27">
        <v>28547</v>
      </c>
      <c r="O551" s="20"/>
    </row>
    <row r="552" spans="1:57" x14ac:dyDescent="0.2">
      <c r="A552" s="46" t="s">
        <v>721</v>
      </c>
      <c r="B552" s="47">
        <v>16445338004</v>
      </c>
      <c r="C552" s="47"/>
      <c r="D552" s="46" t="s">
        <v>327</v>
      </c>
      <c r="E552" s="47"/>
      <c r="F552" s="48">
        <v>45734</v>
      </c>
      <c r="G552" s="48">
        <v>45734</v>
      </c>
      <c r="H552" s="46" t="s">
        <v>722</v>
      </c>
      <c r="I552" s="49"/>
      <c r="J552" s="46" t="s">
        <v>19</v>
      </c>
      <c r="K552" s="46"/>
      <c r="L552" s="46" t="s">
        <v>723</v>
      </c>
      <c r="M552" s="46"/>
      <c r="N552" s="27">
        <v>31081</v>
      </c>
    </row>
    <row r="553" spans="1:57" s="28" customFormat="1" x14ac:dyDescent="0.2">
      <c r="A553" s="20" t="s">
        <v>724</v>
      </c>
      <c r="B553" s="34">
        <v>33044200174</v>
      </c>
      <c r="C553" s="34"/>
      <c r="D553" s="46" t="s">
        <v>27</v>
      </c>
      <c r="E553" s="34"/>
      <c r="F553" s="27">
        <v>45728</v>
      </c>
      <c r="G553" s="27"/>
      <c r="H553" s="20" t="s">
        <v>725</v>
      </c>
      <c r="I553" s="157"/>
      <c r="J553" s="20" t="s">
        <v>726</v>
      </c>
      <c r="K553" s="20"/>
      <c r="L553" s="20" t="s">
        <v>727</v>
      </c>
      <c r="M553" s="46"/>
      <c r="N553" s="27">
        <v>18142</v>
      </c>
      <c r="O553" s="20"/>
    </row>
    <row r="554" spans="1:57" s="28" customFormat="1" x14ac:dyDescent="0.2">
      <c r="A554" s="46" t="s">
        <v>176</v>
      </c>
      <c r="B554" s="47">
        <v>15217104786</v>
      </c>
      <c r="C554" s="47"/>
      <c r="D554" s="46" t="s">
        <v>177</v>
      </c>
      <c r="E554" s="47"/>
      <c r="F554" s="48">
        <v>45736</v>
      </c>
      <c r="G554" s="48"/>
      <c r="H554" s="46" t="s">
        <v>178</v>
      </c>
      <c r="I554" s="193"/>
      <c r="J554" s="46" t="s">
        <v>19</v>
      </c>
      <c r="K554" s="46"/>
      <c r="L554" s="46" t="s">
        <v>180</v>
      </c>
      <c r="M554" s="46"/>
      <c r="N554" s="20" t="s">
        <v>211</v>
      </c>
      <c r="O554" s="20"/>
    </row>
    <row r="555" spans="1:57" s="28" customFormat="1" x14ac:dyDescent="0.2">
      <c r="A555" s="155" t="s">
        <v>176</v>
      </c>
      <c r="B555" s="159">
        <v>15217104786</v>
      </c>
      <c r="C555" s="159"/>
      <c r="D555" s="155" t="s">
        <v>42</v>
      </c>
      <c r="E555" s="159"/>
      <c r="F555" s="160"/>
      <c r="G555" s="160"/>
      <c r="H555" s="155" t="s">
        <v>178</v>
      </c>
      <c r="I555" s="161"/>
      <c r="J555" s="46" t="s">
        <v>19</v>
      </c>
      <c r="K555" s="155"/>
      <c r="L555" s="46" t="s">
        <v>180</v>
      </c>
      <c r="M555" s="155"/>
      <c r="N555" s="20"/>
      <c r="O555" s="20"/>
    </row>
    <row r="556" spans="1:57" x14ac:dyDescent="0.2">
      <c r="A556" s="110" t="s">
        <v>13</v>
      </c>
      <c r="B556" s="194">
        <v>6211022844</v>
      </c>
      <c r="C556" s="194"/>
      <c r="D556" s="195" t="s">
        <v>27</v>
      </c>
      <c r="E556" s="194">
        <v>822060797</v>
      </c>
      <c r="F556" s="196">
        <v>45743</v>
      </c>
      <c r="G556" s="196">
        <v>45743</v>
      </c>
      <c r="H556" s="110" t="s">
        <v>77</v>
      </c>
      <c r="I556" s="197"/>
      <c r="J556" s="110" t="s">
        <v>20</v>
      </c>
      <c r="K556" s="110"/>
      <c r="L556" s="110" t="s">
        <v>750</v>
      </c>
      <c r="M556" s="110" t="s">
        <v>770</v>
      </c>
      <c r="N556" s="110"/>
      <c r="O556" s="110"/>
    </row>
    <row r="557" spans="1:57" x14ac:dyDescent="0.2">
      <c r="A557" s="44" t="s">
        <v>738</v>
      </c>
      <c r="B557" s="34">
        <v>16277920880</v>
      </c>
      <c r="D557" s="124" t="s">
        <v>27</v>
      </c>
      <c r="F557" s="27">
        <v>45750</v>
      </c>
      <c r="G557" s="27">
        <v>45751</v>
      </c>
      <c r="H557" s="20" t="s">
        <v>739</v>
      </c>
      <c r="I557" s="157"/>
      <c r="J557" s="20" t="s">
        <v>19</v>
      </c>
      <c r="L557" s="20" t="s">
        <v>740</v>
      </c>
      <c r="N557" s="27">
        <v>32391</v>
      </c>
    </row>
    <row r="558" spans="1:57" s="28" customFormat="1" x14ac:dyDescent="0.2">
      <c r="A558" s="46" t="s">
        <v>216</v>
      </c>
      <c r="B558" s="47">
        <v>66379090752</v>
      </c>
      <c r="C558" s="47"/>
      <c r="D558" s="46" t="s">
        <v>27</v>
      </c>
      <c r="E558" s="47"/>
      <c r="F558" s="48">
        <v>45762</v>
      </c>
      <c r="G558" s="48"/>
      <c r="H558" s="46" t="s">
        <v>214</v>
      </c>
      <c r="I558" s="49"/>
      <c r="J558" s="46"/>
      <c r="K558" s="46"/>
      <c r="L558" s="46" t="s">
        <v>215</v>
      </c>
      <c r="M558" s="46" t="s">
        <v>743</v>
      </c>
      <c r="N558" s="20" t="s">
        <v>213</v>
      </c>
      <c r="O558" s="20"/>
    </row>
    <row r="559" spans="1:57" x14ac:dyDescent="0.2">
      <c r="A559" s="46" t="s">
        <v>216</v>
      </c>
      <c r="B559" s="47">
        <v>66379090752</v>
      </c>
      <c r="C559" s="47"/>
      <c r="D559" s="46" t="s">
        <v>31</v>
      </c>
      <c r="E559" s="47"/>
      <c r="F559" s="48">
        <v>45762</v>
      </c>
      <c r="G559" s="48"/>
      <c r="H559" s="46" t="s">
        <v>214</v>
      </c>
      <c r="I559" s="49"/>
      <c r="J559" s="46"/>
      <c r="K559" s="46"/>
      <c r="L559" s="46" t="s">
        <v>215</v>
      </c>
      <c r="M559" s="46" t="s">
        <v>744</v>
      </c>
    </row>
    <row r="560" spans="1:57" s="28" customFormat="1" x14ac:dyDescent="0.2">
      <c r="A560" s="46" t="s">
        <v>783</v>
      </c>
      <c r="B560" s="47">
        <v>15170292254</v>
      </c>
      <c r="C560" s="47"/>
      <c r="D560" s="46" t="s">
        <v>27</v>
      </c>
      <c r="E560" s="46"/>
      <c r="F560" s="48">
        <v>45759</v>
      </c>
      <c r="G560" s="48"/>
      <c r="H560" s="46" t="s">
        <v>784</v>
      </c>
      <c r="I560" s="49"/>
      <c r="J560" s="46"/>
      <c r="K560" s="46"/>
      <c r="L560" s="46" t="s">
        <v>785</v>
      </c>
      <c r="M560" s="46"/>
      <c r="N560" s="20" t="s">
        <v>782</v>
      </c>
      <c r="O560" s="20"/>
    </row>
    <row r="561" spans="1:57" s="21" customFormat="1" x14ac:dyDescent="0.2">
      <c r="A561" s="46" t="s">
        <v>231</v>
      </c>
      <c r="B561" s="47">
        <v>17210963582</v>
      </c>
      <c r="C561" s="47"/>
      <c r="D561" s="46" t="s">
        <v>31</v>
      </c>
      <c r="E561" s="47">
        <v>120036543</v>
      </c>
      <c r="F561" s="48">
        <v>45779</v>
      </c>
      <c r="G561" s="48">
        <v>45782</v>
      </c>
      <c r="H561" s="46" t="s">
        <v>229</v>
      </c>
      <c r="I561" s="49"/>
      <c r="J561" s="46" t="s">
        <v>44</v>
      </c>
      <c r="K561" s="46"/>
      <c r="L561" s="46" t="s">
        <v>230</v>
      </c>
      <c r="M561" s="46" t="s">
        <v>806</v>
      </c>
      <c r="N561" s="20"/>
      <c r="O561" s="20"/>
    </row>
    <row r="562" spans="1:57" s="64" customFormat="1" x14ac:dyDescent="0.2">
      <c r="A562" s="46" t="s">
        <v>231</v>
      </c>
      <c r="B562" s="47">
        <v>17210963582</v>
      </c>
      <c r="C562" s="47"/>
      <c r="D562" s="46" t="s">
        <v>27</v>
      </c>
      <c r="E562" s="47">
        <v>120090670</v>
      </c>
      <c r="F562" s="48">
        <v>45779</v>
      </c>
      <c r="G562" s="48">
        <v>45782</v>
      </c>
      <c r="H562" s="46" t="s">
        <v>229</v>
      </c>
      <c r="I562" s="49"/>
      <c r="J562" s="46" t="s">
        <v>44</v>
      </c>
      <c r="K562" s="46"/>
      <c r="L562" s="46" t="s">
        <v>230</v>
      </c>
      <c r="M562" s="46" t="s">
        <v>806</v>
      </c>
      <c r="N562" s="20"/>
      <c r="O562" s="20"/>
    </row>
    <row r="563" spans="1:57" x14ac:dyDescent="0.2">
      <c r="A563" s="143" t="s">
        <v>275</v>
      </c>
      <c r="B563" s="144">
        <v>21040245558</v>
      </c>
      <c r="C563" s="144">
        <v>5325410396</v>
      </c>
      <c r="D563" s="143" t="s">
        <v>31</v>
      </c>
      <c r="E563" s="144">
        <v>299820471</v>
      </c>
      <c r="F563" s="145">
        <v>45782</v>
      </c>
      <c r="G563" s="145">
        <v>45812</v>
      </c>
      <c r="H563" s="143" t="s">
        <v>274</v>
      </c>
      <c r="I563" s="146"/>
      <c r="J563" s="143" t="s">
        <v>19</v>
      </c>
      <c r="K563" s="143"/>
      <c r="L563" s="143" t="s">
        <v>276</v>
      </c>
      <c r="M563" s="143" t="s">
        <v>81</v>
      </c>
      <c r="N563" s="122" t="s">
        <v>277</v>
      </c>
      <c r="O563" s="122"/>
    </row>
    <row r="564" spans="1:57" s="28" customFormat="1" x14ac:dyDescent="0.2">
      <c r="A564" s="46" t="s">
        <v>246</v>
      </c>
      <c r="B564" s="46">
        <v>41044761434</v>
      </c>
      <c r="C564" s="47"/>
      <c r="D564" s="46" t="s">
        <v>27</v>
      </c>
      <c r="E564" s="47"/>
      <c r="F564" s="160"/>
      <c r="G564" s="48">
        <v>45792</v>
      </c>
      <c r="H564" s="46" t="s">
        <v>248</v>
      </c>
      <c r="I564" s="49"/>
      <c r="J564" s="46" t="s">
        <v>19</v>
      </c>
      <c r="K564" s="46"/>
      <c r="L564" s="48">
        <v>32787</v>
      </c>
      <c r="M564" s="46"/>
      <c r="N564" s="20" t="s">
        <v>244</v>
      </c>
      <c r="O564" s="20"/>
    </row>
    <row r="565" spans="1:57" s="28" customFormat="1" x14ac:dyDescent="0.2">
      <c r="A565" s="46" t="s">
        <v>246</v>
      </c>
      <c r="B565" s="46">
        <v>41044761434</v>
      </c>
      <c r="C565" s="47"/>
      <c r="D565" s="46" t="s">
        <v>31</v>
      </c>
      <c r="E565" s="47"/>
      <c r="F565" s="160"/>
      <c r="G565" s="48">
        <v>45794</v>
      </c>
      <c r="H565" s="46" t="s">
        <v>248</v>
      </c>
      <c r="I565" s="157"/>
      <c r="J565" s="46" t="s">
        <v>19</v>
      </c>
      <c r="K565" s="46"/>
      <c r="L565" s="46"/>
      <c r="M565" s="46"/>
      <c r="N565" s="20"/>
      <c r="O565" s="20"/>
    </row>
    <row r="566" spans="1:57" x14ac:dyDescent="0.2">
      <c r="A566" s="46" t="s">
        <v>247</v>
      </c>
      <c r="B566" s="46">
        <v>41245754754</v>
      </c>
      <c r="C566" s="47"/>
      <c r="D566" s="46" t="s">
        <v>27</v>
      </c>
      <c r="E566" s="47"/>
      <c r="F566" s="160"/>
      <c r="G566" s="48">
        <v>45792</v>
      </c>
      <c r="H566" s="46" t="s">
        <v>245</v>
      </c>
      <c r="I566" s="49"/>
      <c r="J566" s="46" t="s">
        <v>19</v>
      </c>
      <c r="K566" s="46"/>
      <c r="L566" s="48">
        <v>32230</v>
      </c>
      <c r="M566" s="46"/>
      <c r="N566" s="20" t="s">
        <v>249</v>
      </c>
    </row>
    <row r="567" spans="1:57" s="28" customFormat="1" x14ac:dyDescent="0.2">
      <c r="A567" s="46" t="s">
        <v>247</v>
      </c>
      <c r="B567" s="46">
        <v>41245754754</v>
      </c>
      <c r="C567" s="47"/>
      <c r="D567" s="46" t="s">
        <v>31</v>
      </c>
      <c r="E567" s="47"/>
      <c r="F567" s="160"/>
      <c r="G567" s="48">
        <v>45793</v>
      </c>
      <c r="H567" s="46" t="s">
        <v>245</v>
      </c>
      <c r="I567" s="49"/>
      <c r="J567" s="46" t="s">
        <v>19</v>
      </c>
      <c r="K567" s="46"/>
      <c r="L567" s="46"/>
      <c r="M567" s="46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</row>
    <row r="568" spans="1:57" s="143" customFormat="1" x14ac:dyDescent="0.2">
      <c r="A568" s="46" t="s">
        <v>250</v>
      </c>
      <c r="B568" s="46">
        <v>6180054278</v>
      </c>
      <c r="C568" s="47"/>
      <c r="D568" s="46" t="s">
        <v>189</v>
      </c>
      <c r="E568" s="47"/>
      <c r="F568" s="48"/>
      <c r="G568" s="48">
        <v>45800</v>
      </c>
      <c r="H568" s="163"/>
      <c r="I568" s="49"/>
      <c r="J568" s="46" t="s">
        <v>44</v>
      </c>
      <c r="K568" s="46"/>
      <c r="L568" s="46"/>
      <c r="M568" s="46" t="s">
        <v>251</v>
      </c>
      <c r="N568" s="46" t="s">
        <v>252</v>
      </c>
      <c r="O568" s="46"/>
    </row>
    <row r="569" spans="1:57" s="21" customFormat="1" x14ac:dyDescent="0.2">
      <c r="A569" s="46" t="s">
        <v>253</v>
      </c>
      <c r="B569" s="46">
        <v>30647427700</v>
      </c>
      <c r="C569" s="47"/>
      <c r="D569" s="46" t="s">
        <v>104</v>
      </c>
      <c r="E569" s="47"/>
      <c r="F569" s="48"/>
      <c r="G569" s="48">
        <v>45800</v>
      </c>
      <c r="H569" s="46"/>
      <c r="I569" s="49"/>
      <c r="J569" s="46" t="s">
        <v>19</v>
      </c>
      <c r="K569" s="46"/>
      <c r="L569" s="27">
        <v>31395</v>
      </c>
      <c r="M569" s="124" t="s">
        <v>190</v>
      </c>
      <c r="N569" s="20" t="s">
        <v>254</v>
      </c>
      <c r="O569" s="20"/>
    </row>
    <row r="570" spans="1:57" x14ac:dyDescent="0.2">
      <c r="A570" s="46" t="s">
        <v>818</v>
      </c>
      <c r="B570" s="47">
        <v>10088446034</v>
      </c>
      <c r="C570" s="46"/>
      <c r="D570" s="46" t="s">
        <v>27</v>
      </c>
      <c r="E570" s="46"/>
      <c r="F570" s="48">
        <v>45799</v>
      </c>
      <c r="G570" s="48">
        <v>45802</v>
      </c>
      <c r="H570" s="46" t="s">
        <v>542</v>
      </c>
      <c r="I570" s="49"/>
      <c r="J570" s="46"/>
      <c r="K570" s="46"/>
      <c r="L570" s="46"/>
      <c r="M570" s="46"/>
      <c r="Q570" s="20">
        <v>5521010105703150</v>
      </c>
      <c r="R570" s="20" t="s">
        <v>514</v>
      </c>
    </row>
    <row r="571" spans="1:57" s="21" customFormat="1" x14ac:dyDescent="0.2">
      <c r="A571" s="46" t="s">
        <v>818</v>
      </c>
      <c r="B571" s="47">
        <v>10088446034</v>
      </c>
      <c r="C571" s="155"/>
      <c r="D571" s="155" t="s">
        <v>31</v>
      </c>
      <c r="E571" s="155"/>
      <c r="F571" s="48">
        <v>45799</v>
      </c>
      <c r="G571" s="48">
        <v>45802</v>
      </c>
      <c r="H571" s="46" t="s">
        <v>542</v>
      </c>
      <c r="I571" s="161"/>
      <c r="J571" s="155"/>
      <c r="K571" s="155"/>
      <c r="L571" s="155"/>
      <c r="M571" s="155"/>
      <c r="N571" s="64" t="s">
        <v>819</v>
      </c>
      <c r="O571" s="64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</row>
    <row r="572" spans="1:57" s="28" customFormat="1" x14ac:dyDescent="0.2">
      <c r="A572" s="46" t="s">
        <v>760</v>
      </c>
      <c r="B572" s="47">
        <v>38509891744</v>
      </c>
      <c r="C572" s="46">
        <v>5443521508</v>
      </c>
      <c r="D572" s="46" t="s">
        <v>27</v>
      </c>
      <c r="E572" s="47"/>
      <c r="F572" s="48">
        <v>45806</v>
      </c>
      <c r="G572" s="48">
        <v>45806</v>
      </c>
      <c r="H572" s="46" t="s">
        <v>827</v>
      </c>
      <c r="I572" s="49"/>
      <c r="J572" s="46" t="s">
        <v>19</v>
      </c>
      <c r="K572" s="46"/>
      <c r="L572" s="46" t="s">
        <v>828</v>
      </c>
      <c r="M572" s="46"/>
      <c r="N572" s="27">
        <v>35935</v>
      </c>
      <c r="O572" s="20"/>
    </row>
    <row r="573" spans="1:57" s="28" customFormat="1" x14ac:dyDescent="0.2">
      <c r="A573" s="46" t="s">
        <v>849</v>
      </c>
      <c r="B573" s="47">
        <v>47209207618</v>
      </c>
      <c r="C573" s="47"/>
      <c r="D573" s="46" t="s">
        <v>31</v>
      </c>
      <c r="E573" s="47">
        <v>351000042834791</v>
      </c>
      <c r="F573" s="48">
        <v>45808</v>
      </c>
      <c r="G573" s="48">
        <v>45808</v>
      </c>
      <c r="H573" s="46" t="s">
        <v>272</v>
      </c>
      <c r="I573" s="49"/>
      <c r="J573" s="46" t="s">
        <v>44</v>
      </c>
      <c r="K573" s="46"/>
      <c r="L573" s="46" t="s">
        <v>262</v>
      </c>
      <c r="M573" s="46" t="s">
        <v>25</v>
      </c>
      <c r="N573" s="20" t="s">
        <v>273</v>
      </c>
      <c r="O573" s="20"/>
    </row>
    <row r="574" spans="1:57" s="28" customFormat="1" x14ac:dyDescent="0.2">
      <c r="A574" s="46" t="s">
        <v>849</v>
      </c>
      <c r="B574" s="47"/>
      <c r="C574" s="46"/>
      <c r="D574" s="46" t="s">
        <v>27</v>
      </c>
      <c r="E574" s="47"/>
      <c r="F574" s="48">
        <v>45808</v>
      </c>
      <c r="G574" s="48">
        <v>45808</v>
      </c>
      <c r="H574" s="46"/>
      <c r="I574" s="49"/>
      <c r="J574" s="46"/>
      <c r="K574" s="46"/>
      <c r="L574" s="46"/>
      <c r="M574" s="46"/>
      <c r="N574" s="27"/>
      <c r="O574" s="20"/>
    </row>
    <row r="575" spans="1:57" s="79" customFormat="1" x14ac:dyDescent="0.2">
      <c r="A575" s="46" t="s">
        <v>267</v>
      </c>
      <c r="B575" s="47">
        <v>38506089144</v>
      </c>
      <c r="C575" s="47">
        <v>5342238844</v>
      </c>
      <c r="D575" s="46" t="s">
        <v>27</v>
      </c>
      <c r="E575" s="47"/>
      <c r="F575" s="48">
        <v>45812</v>
      </c>
      <c r="G575" s="48">
        <v>45819</v>
      </c>
      <c r="H575" s="46" t="s">
        <v>265</v>
      </c>
      <c r="I575" s="49"/>
      <c r="J575" s="46" t="s">
        <v>19</v>
      </c>
      <c r="K575" s="46"/>
      <c r="L575" s="48" t="s">
        <v>266</v>
      </c>
      <c r="M575" s="46"/>
      <c r="N575" s="20"/>
      <c r="O575" s="20"/>
    </row>
    <row r="576" spans="1:57" x14ac:dyDescent="0.2">
      <c r="A576" s="46" t="s">
        <v>268</v>
      </c>
      <c r="B576" s="47">
        <v>39502466656</v>
      </c>
      <c r="C576" s="47">
        <v>5425667787</v>
      </c>
      <c r="D576" s="46" t="s">
        <v>27</v>
      </c>
      <c r="E576" s="47">
        <v>298295370</v>
      </c>
      <c r="F576" s="48">
        <v>45812</v>
      </c>
      <c r="G576" s="48">
        <v>45812</v>
      </c>
      <c r="H576" s="46" t="s">
        <v>271</v>
      </c>
      <c r="I576" s="49"/>
      <c r="J576" s="46" t="s">
        <v>44</v>
      </c>
      <c r="K576" s="46">
        <f>421.28*0.6</f>
        <v>252.76799999999997</v>
      </c>
      <c r="L576" s="46" t="s">
        <v>270</v>
      </c>
      <c r="M576" s="46" t="s">
        <v>81</v>
      </c>
      <c r="N576" s="20" t="s">
        <v>269</v>
      </c>
    </row>
    <row r="577" spans="1:57" x14ac:dyDescent="0.2">
      <c r="A577" s="165" t="s">
        <v>289</v>
      </c>
      <c r="B577" s="166" t="s">
        <v>288</v>
      </c>
      <c r="C577" s="166"/>
      <c r="D577" s="165" t="s">
        <v>290</v>
      </c>
      <c r="E577" s="166"/>
      <c r="F577" s="184">
        <v>45814</v>
      </c>
      <c r="G577" s="184">
        <v>45814</v>
      </c>
      <c r="H577" s="165"/>
      <c r="I577" s="169"/>
      <c r="J577" s="165" t="s">
        <v>237</v>
      </c>
      <c r="K577" s="165"/>
      <c r="L577" s="165"/>
      <c r="M577" s="165" t="s">
        <v>185</v>
      </c>
      <c r="N577" s="20" t="s">
        <v>291</v>
      </c>
    </row>
    <row r="578" spans="1:57" s="46" customFormat="1" x14ac:dyDescent="0.2">
      <c r="A578" s="46" t="s">
        <v>295</v>
      </c>
      <c r="B578" s="47">
        <v>1280416935</v>
      </c>
      <c r="C578" s="47"/>
      <c r="D578" s="46" t="s">
        <v>27</v>
      </c>
      <c r="E578" s="47">
        <v>120582127</v>
      </c>
      <c r="F578" s="48">
        <v>45815</v>
      </c>
      <c r="G578" s="48">
        <v>45815</v>
      </c>
      <c r="H578" s="46" t="s">
        <v>298</v>
      </c>
      <c r="I578" s="49"/>
      <c r="J578" s="46" t="s">
        <v>20</v>
      </c>
      <c r="K578" s="46">
        <v>1179.8</v>
      </c>
      <c r="L578" s="46" t="s">
        <v>296</v>
      </c>
      <c r="M578" s="46" t="s">
        <v>190</v>
      </c>
      <c r="N578" s="46" t="s">
        <v>297</v>
      </c>
    </row>
    <row r="579" spans="1:57" s="37" customFormat="1" x14ac:dyDescent="0.2">
      <c r="A579" s="46" t="s">
        <v>295</v>
      </c>
      <c r="B579" s="47">
        <v>1280416935</v>
      </c>
      <c r="C579" s="47"/>
      <c r="D579" s="46" t="s">
        <v>31</v>
      </c>
      <c r="E579" s="47"/>
      <c r="F579" s="48">
        <v>45815</v>
      </c>
      <c r="G579" s="48">
        <v>45815</v>
      </c>
      <c r="H579" s="155" t="s">
        <v>299</v>
      </c>
      <c r="I579" s="49"/>
      <c r="J579" s="46"/>
      <c r="K579" s="46"/>
      <c r="L579" s="46"/>
      <c r="M579" s="46"/>
      <c r="N579" s="46"/>
      <c r="O579" s="47"/>
    </row>
    <row r="580" spans="1:57" s="37" customFormat="1" x14ac:dyDescent="0.2">
      <c r="A580" s="46" t="s">
        <v>313</v>
      </c>
      <c r="B580" s="47">
        <v>2150595484</v>
      </c>
      <c r="C580" s="47"/>
      <c r="D580" s="47" t="s">
        <v>42</v>
      </c>
      <c r="E580" s="47"/>
      <c r="F580" s="48">
        <v>45822</v>
      </c>
      <c r="G580" s="48">
        <v>45822</v>
      </c>
      <c r="H580" s="46" t="s">
        <v>314</v>
      </c>
      <c r="I580" s="49"/>
      <c r="J580" s="47" t="s">
        <v>20</v>
      </c>
      <c r="K580" s="46"/>
      <c r="L580" s="46" t="s">
        <v>315</v>
      </c>
      <c r="M580" s="47" t="s">
        <v>316</v>
      </c>
      <c r="N580" s="46"/>
      <c r="O580" s="47"/>
    </row>
    <row r="581" spans="1:57" s="37" customFormat="1" x14ac:dyDescent="0.2">
      <c r="A581" s="46" t="s">
        <v>321</v>
      </c>
      <c r="B581" s="47">
        <v>30229806572</v>
      </c>
      <c r="C581" s="47">
        <v>5352212019</v>
      </c>
      <c r="D581" s="47" t="s">
        <v>27</v>
      </c>
      <c r="E581" s="47">
        <v>301000100618291</v>
      </c>
      <c r="F581" s="48">
        <v>45830</v>
      </c>
      <c r="G581" s="48">
        <v>45840</v>
      </c>
      <c r="H581" s="46" t="s">
        <v>322</v>
      </c>
      <c r="I581" s="49"/>
      <c r="J581" s="47" t="s">
        <v>19</v>
      </c>
      <c r="K581" s="46"/>
      <c r="L581" s="46" t="s">
        <v>323</v>
      </c>
      <c r="M581" s="47"/>
      <c r="N581" s="198" t="s">
        <v>871</v>
      </c>
      <c r="O581" s="47"/>
    </row>
    <row r="582" spans="1:57" x14ac:dyDescent="0.2">
      <c r="A582" s="46" t="s">
        <v>867</v>
      </c>
      <c r="B582" s="47">
        <v>19430523928</v>
      </c>
      <c r="C582" s="47"/>
      <c r="D582" s="46"/>
      <c r="E582" s="47"/>
      <c r="F582" s="48">
        <v>45832</v>
      </c>
      <c r="G582" s="48"/>
      <c r="H582" s="46" t="s">
        <v>869</v>
      </c>
      <c r="I582" s="49"/>
      <c r="J582" s="37" t="s">
        <v>44</v>
      </c>
      <c r="K582" s="46"/>
      <c r="L582" s="46" t="s">
        <v>868</v>
      </c>
      <c r="M582" s="46"/>
      <c r="N582" s="20" t="s">
        <v>870</v>
      </c>
    </row>
    <row r="583" spans="1:57" s="28" customFormat="1" x14ac:dyDescent="0.2">
      <c r="A583" s="46" t="s">
        <v>353</v>
      </c>
      <c r="B583" s="47">
        <v>41593394794</v>
      </c>
      <c r="C583" s="47">
        <v>5322158151</v>
      </c>
      <c r="D583" s="47" t="s">
        <v>327</v>
      </c>
      <c r="E583" s="47"/>
      <c r="F583" s="48"/>
      <c r="G583" s="48">
        <v>45839</v>
      </c>
      <c r="H583" s="46" t="s">
        <v>354</v>
      </c>
      <c r="I583" s="49"/>
      <c r="J583" s="47" t="s">
        <v>44</v>
      </c>
      <c r="K583" s="46"/>
      <c r="L583" s="46" t="s">
        <v>356</v>
      </c>
      <c r="M583" s="46"/>
      <c r="N583" s="20" t="s">
        <v>878</v>
      </c>
      <c r="O583" s="20"/>
    </row>
    <row r="584" spans="1:57" s="28" customFormat="1" x14ac:dyDescent="0.2">
      <c r="A584" s="46" t="s">
        <v>329</v>
      </c>
      <c r="B584" s="47">
        <v>63826350766</v>
      </c>
      <c r="C584" s="47">
        <v>5367388932</v>
      </c>
      <c r="D584" s="47" t="s">
        <v>327</v>
      </c>
      <c r="E584" s="47"/>
      <c r="F584" s="160"/>
      <c r="G584" s="160">
        <v>45842</v>
      </c>
      <c r="H584" s="155" t="s">
        <v>330</v>
      </c>
      <c r="I584" s="49"/>
      <c r="J584" s="47" t="s">
        <v>44</v>
      </c>
      <c r="K584" s="46"/>
      <c r="L584" s="46" t="s">
        <v>332</v>
      </c>
      <c r="M584" s="47"/>
      <c r="N584" s="20" t="s">
        <v>331</v>
      </c>
      <c r="O584" s="34"/>
    </row>
    <row r="585" spans="1:57" x14ac:dyDescent="0.2">
      <c r="A585" s="46" t="s">
        <v>884</v>
      </c>
      <c r="B585" s="47">
        <v>52861538918</v>
      </c>
      <c r="C585" s="47"/>
      <c r="D585" s="46" t="s">
        <v>31</v>
      </c>
      <c r="E585" s="47"/>
      <c r="F585" s="48"/>
      <c r="G585" s="48">
        <v>45857</v>
      </c>
      <c r="H585" s="71" t="s">
        <v>887</v>
      </c>
      <c r="I585" s="157"/>
      <c r="J585" s="46" t="s">
        <v>44</v>
      </c>
      <c r="K585" s="46"/>
      <c r="L585" s="46" t="s">
        <v>886</v>
      </c>
      <c r="M585" s="46"/>
      <c r="N585" s="27" t="s">
        <v>885</v>
      </c>
    </row>
    <row r="586" spans="1:57" s="28" customFormat="1" x14ac:dyDescent="0.2">
      <c r="A586" s="46" t="s">
        <v>884</v>
      </c>
      <c r="B586" s="47">
        <v>52861538918</v>
      </c>
      <c r="C586" s="47"/>
      <c r="D586" s="47" t="s">
        <v>27</v>
      </c>
      <c r="E586" s="34"/>
      <c r="F586" s="47"/>
      <c r="G586" s="48">
        <v>45857</v>
      </c>
      <c r="H586" s="71" t="s">
        <v>887</v>
      </c>
      <c r="I586" s="49"/>
      <c r="J586" s="47" t="s">
        <v>44</v>
      </c>
      <c r="K586" s="47"/>
      <c r="L586" s="47" t="s">
        <v>886</v>
      </c>
      <c r="M586" s="47"/>
      <c r="N586" s="34"/>
      <c r="O586" s="34"/>
    </row>
    <row r="587" spans="1:57" s="28" customFormat="1" x14ac:dyDescent="0.2">
      <c r="A587" s="46" t="s">
        <v>368</v>
      </c>
      <c r="B587" s="47">
        <v>18682232664</v>
      </c>
      <c r="C587" s="47"/>
      <c r="D587" s="46" t="s">
        <v>27</v>
      </c>
      <c r="E587" s="47">
        <v>121064862</v>
      </c>
      <c r="F587" s="48">
        <v>45849</v>
      </c>
      <c r="G587" s="48">
        <v>45849</v>
      </c>
      <c r="H587" s="46" t="s">
        <v>369</v>
      </c>
      <c r="I587" s="49"/>
      <c r="J587" s="46" t="s">
        <v>20</v>
      </c>
      <c r="K587" s="46">
        <v>1397</v>
      </c>
      <c r="L587" s="46" t="s">
        <v>370</v>
      </c>
      <c r="M587" s="46"/>
      <c r="N587" s="20" t="s">
        <v>371</v>
      </c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</row>
    <row r="588" spans="1:57" s="28" customFormat="1" x14ac:dyDescent="0.2">
      <c r="A588" s="46" t="s">
        <v>368</v>
      </c>
      <c r="B588" s="47">
        <v>18682232664</v>
      </c>
      <c r="C588" s="47"/>
      <c r="D588" s="46" t="s">
        <v>31</v>
      </c>
      <c r="E588" s="47">
        <v>351000046686538</v>
      </c>
      <c r="F588" s="48">
        <v>45849</v>
      </c>
      <c r="G588" s="48">
        <v>45849</v>
      </c>
      <c r="H588" s="46" t="s">
        <v>369</v>
      </c>
      <c r="I588" s="157"/>
      <c r="J588" s="46" t="s">
        <v>20</v>
      </c>
      <c r="K588" s="46">
        <v>1762.51</v>
      </c>
      <c r="L588" s="46" t="s">
        <v>370</v>
      </c>
      <c r="M588" s="46"/>
      <c r="N588" s="20"/>
      <c r="O588" s="20"/>
    </row>
    <row r="589" spans="1:57" s="28" customFormat="1" x14ac:dyDescent="0.2">
      <c r="A589" s="46" t="s">
        <v>379</v>
      </c>
      <c r="B589" s="47">
        <v>35500599556</v>
      </c>
      <c r="C589" s="47">
        <v>5346010539</v>
      </c>
      <c r="D589" s="46" t="s">
        <v>27</v>
      </c>
      <c r="E589" s="47"/>
      <c r="F589" s="48">
        <v>45491</v>
      </c>
      <c r="G589" s="48">
        <v>45860</v>
      </c>
      <c r="H589" s="46" t="s">
        <v>380</v>
      </c>
      <c r="I589" s="49"/>
      <c r="J589" s="46"/>
      <c r="K589" s="46"/>
      <c r="L589" s="46" t="s">
        <v>381</v>
      </c>
      <c r="M589" s="46"/>
      <c r="N589" s="27">
        <v>26665</v>
      </c>
      <c r="O589" s="20"/>
      <c r="P589" s="20"/>
      <c r="Q589" s="20">
        <v>21182076850</v>
      </c>
      <c r="R589" s="20" t="s">
        <v>515</v>
      </c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</row>
    <row r="590" spans="1:57" s="21" customFormat="1" x14ac:dyDescent="0.2">
      <c r="A590" s="46" t="s">
        <v>376</v>
      </c>
      <c r="B590" s="47">
        <v>6120683563</v>
      </c>
      <c r="C590" s="47"/>
      <c r="D590" s="46" t="s">
        <v>189</v>
      </c>
      <c r="E590" s="47"/>
      <c r="F590" s="48">
        <v>45490</v>
      </c>
      <c r="G590" s="48">
        <v>45855</v>
      </c>
      <c r="H590" s="46"/>
      <c r="I590" s="157"/>
      <c r="J590" s="46"/>
      <c r="K590" s="46"/>
      <c r="L590" s="46"/>
      <c r="M590" s="46"/>
      <c r="N590" s="20"/>
      <c r="O590" s="20"/>
    </row>
    <row r="591" spans="1:57" s="28" customFormat="1" x14ac:dyDescent="0.2">
      <c r="A591" s="46" t="s">
        <v>377</v>
      </c>
      <c r="B591" s="47">
        <v>6120683563</v>
      </c>
      <c r="C591" s="47"/>
      <c r="D591" s="46" t="s">
        <v>189</v>
      </c>
      <c r="E591" s="47"/>
      <c r="F591" s="48">
        <v>45490</v>
      </c>
      <c r="G591" s="48">
        <v>45855</v>
      </c>
      <c r="H591" s="46"/>
      <c r="I591" s="49"/>
      <c r="J591" s="46"/>
      <c r="K591" s="46"/>
      <c r="L591" s="46"/>
      <c r="M591" s="46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</row>
    <row r="592" spans="1:57" x14ac:dyDescent="0.2">
      <c r="A592" s="46" t="s">
        <v>372</v>
      </c>
      <c r="B592" s="47">
        <v>17399590968</v>
      </c>
      <c r="C592" s="47"/>
      <c r="D592" s="46" t="s">
        <v>97</v>
      </c>
      <c r="E592" s="47">
        <v>602000002662699</v>
      </c>
      <c r="F592" s="48">
        <v>45854</v>
      </c>
      <c r="G592" s="48">
        <v>45854</v>
      </c>
      <c r="H592" s="46"/>
      <c r="I592" s="49"/>
      <c r="J592" s="46" t="s">
        <v>44</v>
      </c>
      <c r="K592" s="46"/>
      <c r="L592" s="46"/>
      <c r="M592" s="46" t="s">
        <v>25</v>
      </c>
      <c r="N592" s="27">
        <v>29090</v>
      </c>
    </row>
    <row r="593" spans="1:227" x14ac:dyDescent="0.2">
      <c r="A593" s="46" t="s">
        <v>393</v>
      </c>
      <c r="B593" s="47">
        <v>27509295874</v>
      </c>
      <c r="C593" s="47"/>
      <c r="D593" s="46" t="s">
        <v>97</v>
      </c>
      <c r="E593" s="47">
        <v>602000002725426</v>
      </c>
      <c r="F593" s="48">
        <v>45496</v>
      </c>
      <c r="G593" s="48">
        <v>45861</v>
      </c>
      <c r="H593" s="46"/>
      <c r="I593" s="49"/>
      <c r="J593" s="46" t="s">
        <v>44</v>
      </c>
      <c r="K593" s="46"/>
      <c r="L593" s="46"/>
      <c r="M593" s="46" t="s">
        <v>25</v>
      </c>
      <c r="N593" s="20" t="s">
        <v>394</v>
      </c>
    </row>
    <row r="594" spans="1:227" s="28" customFormat="1" x14ac:dyDescent="0.2">
      <c r="A594" s="46" t="s">
        <v>392</v>
      </c>
      <c r="B594" s="47">
        <v>30421768180</v>
      </c>
      <c r="C594" s="47">
        <v>5556112050</v>
      </c>
      <c r="D594" s="46" t="s">
        <v>27</v>
      </c>
      <c r="E594" s="47"/>
      <c r="F594" s="48">
        <v>45496</v>
      </c>
      <c r="G594" s="48">
        <v>45869</v>
      </c>
      <c r="H594" s="46" t="s">
        <v>391</v>
      </c>
      <c r="I594" s="49"/>
      <c r="J594" s="46" t="s">
        <v>19</v>
      </c>
      <c r="K594" s="46"/>
      <c r="L594" s="46" t="s">
        <v>390</v>
      </c>
      <c r="M594" s="46"/>
      <c r="N594" s="27" t="s">
        <v>389</v>
      </c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</row>
    <row r="595" spans="1:227" s="28" customFormat="1" x14ac:dyDescent="0.2">
      <c r="A595" s="199" t="s">
        <v>450</v>
      </c>
      <c r="B595" s="200">
        <v>6211022844</v>
      </c>
      <c r="C595" s="201"/>
      <c r="D595" s="199" t="s">
        <v>27</v>
      </c>
      <c r="E595" s="202">
        <v>801276110</v>
      </c>
      <c r="F595" s="203">
        <v>45868</v>
      </c>
      <c r="G595" s="203">
        <v>45868</v>
      </c>
      <c r="H595" s="199" t="s">
        <v>933</v>
      </c>
      <c r="I595" s="204"/>
      <c r="J595" s="199" t="s">
        <v>20</v>
      </c>
      <c r="K595" s="205" t="s">
        <v>934</v>
      </c>
      <c r="L595" s="205" t="s">
        <v>935</v>
      </c>
      <c r="M595" s="143" t="s">
        <v>752</v>
      </c>
      <c r="N595" s="122"/>
      <c r="O595" s="122"/>
    </row>
    <row r="596" spans="1:227" s="28" customFormat="1" x14ac:dyDescent="0.2">
      <c r="A596" s="199" t="s">
        <v>450</v>
      </c>
      <c r="B596" s="200">
        <v>6211022844</v>
      </c>
      <c r="C596" s="201"/>
      <c r="D596" s="199" t="s">
        <v>27</v>
      </c>
      <c r="E596" s="206">
        <v>801278052</v>
      </c>
      <c r="F596" s="203">
        <v>45868</v>
      </c>
      <c r="G596" s="203">
        <v>45868</v>
      </c>
      <c r="H596" s="199" t="s">
        <v>86</v>
      </c>
      <c r="I596" s="204"/>
      <c r="J596" s="199" t="s">
        <v>20</v>
      </c>
      <c r="K596" s="205" t="s">
        <v>936</v>
      </c>
      <c r="L596" s="205" t="s">
        <v>937</v>
      </c>
      <c r="M596" s="143" t="s">
        <v>752</v>
      </c>
      <c r="N596" s="122"/>
      <c r="O596" s="122"/>
    </row>
    <row r="597" spans="1:227" s="28" customFormat="1" x14ac:dyDescent="0.2">
      <c r="A597" s="199" t="s">
        <v>450</v>
      </c>
      <c r="B597" s="200">
        <v>6211022844</v>
      </c>
      <c r="C597" s="201"/>
      <c r="D597" s="199" t="s">
        <v>31</v>
      </c>
      <c r="E597" s="206">
        <v>786402725</v>
      </c>
      <c r="F597" s="203">
        <v>45868</v>
      </c>
      <c r="G597" s="203">
        <v>45868</v>
      </c>
      <c r="H597" s="199" t="s">
        <v>86</v>
      </c>
      <c r="I597" s="204"/>
      <c r="J597" s="199" t="s">
        <v>20</v>
      </c>
      <c r="K597" s="205" t="s">
        <v>938</v>
      </c>
      <c r="L597" s="205" t="s">
        <v>939</v>
      </c>
      <c r="M597" s="143" t="s">
        <v>752</v>
      </c>
      <c r="N597" s="122"/>
      <c r="O597" s="122"/>
    </row>
    <row r="598" spans="1:227" x14ac:dyDescent="0.2">
      <c r="A598" s="199" t="s">
        <v>450</v>
      </c>
      <c r="B598" s="200">
        <v>6211022844</v>
      </c>
      <c r="C598" s="201"/>
      <c r="D598" s="199" t="s">
        <v>31</v>
      </c>
      <c r="E598" s="206">
        <v>786402361</v>
      </c>
      <c r="F598" s="203">
        <v>45868</v>
      </c>
      <c r="G598" s="203">
        <v>45868</v>
      </c>
      <c r="H598" s="199" t="s">
        <v>933</v>
      </c>
      <c r="I598" s="204"/>
      <c r="J598" s="199" t="s">
        <v>20</v>
      </c>
      <c r="K598" s="205" t="s">
        <v>940</v>
      </c>
      <c r="L598" s="205" t="s">
        <v>941</v>
      </c>
      <c r="M598" s="143" t="s">
        <v>752</v>
      </c>
      <c r="N598" s="122"/>
      <c r="O598" s="122"/>
    </row>
    <row r="599" spans="1:227" s="28" customFormat="1" ht="12" thickBot="1" x14ac:dyDescent="0.25">
      <c r="A599" s="46" t="s">
        <v>387</v>
      </c>
      <c r="B599" s="47">
        <v>16111301868</v>
      </c>
      <c r="C599" s="47">
        <v>5434142546</v>
      </c>
      <c r="D599" s="46" t="s">
        <v>27</v>
      </c>
      <c r="E599" s="46"/>
      <c r="F599" s="48">
        <v>45866</v>
      </c>
      <c r="G599" s="48">
        <v>45873</v>
      </c>
      <c r="H599" s="46" t="s">
        <v>386</v>
      </c>
      <c r="I599" s="49"/>
      <c r="J599" s="46"/>
      <c r="K599" s="46"/>
      <c r="L599" s="46" t="s">
        <v>897</v>
      </c>
      <c r="M599" s="46"/>
      <c r="N599" s="20" t="s">
        <v>896</v>
      </c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</row>
    <row r="600" spans="1:227" s="28" customFormat="1" ht="12" thickBot="1" x14ac:dyDescent="0.25">
      <c r="A600" s="46" t="s">
        <v>414</v>
      </c>
      <c r="B600" s="47">
        <v>31561730556</v>
      </c>
      <c r="C600" s="47"/>
      <c r="D600" s="46" t="s">
        <v>27</v>
      </c>
      <c r="E600" s="47"/>
      <c r="F600" s="48">
        <v>45502</v>
      </c>
      <c r="G600" s="48">
        <v>45503</v>
      </c>
      <c r="H600" s="46" t="s">
        <v>412</v>
      </c>
      <c r="I600" s="49"/>
      <c r="J600" s="46" t="s">
        <v>44</v>
      </c>
      <c r="K600" s="46"/>
      <c r="L600" s="46" t="s">
        <v>413</v>
      </c>
      <c r="M600" s="46"/>
      <c r="N600" s="20" t="s">
        <v>415</v>
      </c>
      <c r="O600" s="20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01"/>
      <c r="BG600" s="102"/>
      <c r="BH600" s="102"/>
      <c r="BI600" s="102"/>
      <c r="BJ600" s="102"/>
      <c r="BK600" s="102"/>
      <c r="BL600" s="102"/>
      <c r="BM600" s="102"/>
      <c r="BN600" s="102"/>
      <c r="BO600" s="102"/>
      <c r="BP600" s="102"/>
      <c r="BQ600" s="102"/>
      <c r="BR600" s="102"/>
      <c r="BS600" s="102"/>
      <c r="BT600" s="102"/>
      <c r="BU600" s="102"/>
      <c r="BV600" s="102"/>
      <c r="BW600" s="102"/>
      <c r="BX600" s="102"/>
      <c r="BY600" s="102"/>
      <c r="BZ600" s="102"/>
      <c r="CA600" s="102"/>
      <c r="CB600" s="102"/>
      <c r="CC600" s="102"/>
      <c r="CD600" s="102"/>
      <c r="CE600" s="102"/>
      <c r="CF600" s="102"/>
      <c r="CG600" s="102"/>
      <c r="CH600" s="102"/>
      <c r="CI600" s="102"/>
      <c r="CJ600" s="102"/>
      <c r="CK600" s="102"/>
      <c r="CL600" s="102"/>
      <c r="CM600" s="102"/>
      <c r="CN600" s="102"/>
      <c r="CO600" s="102"/>
      <c r="CP600" s="102"/>
      <c r="CQ600" s="102"/>
      <c r="CR600" s="102"/>
      <c r="CS600" s="102"/>
      <c r="CT600" s="102"/>
      <c r="CU600" s="102"/>
      <c r="CV600" s="102"/>
      <c r="CW600" s="102"/>
      <c r="CX600" s="102"/>
      <c r="CY600" s="102"/>
      <c r="CZ600" s="102"/>
      <c r="DA600" s="102"/>
      <c r="DB600" s="102"/>
      <c r="DC600" s="102"/>
      <c r="DD600" s="102"/>
      <c r="DE600" s="102"/>
      <c r="DF600" s="102"/>
      <c r="DG600" s="102"/>
      <c r="DH600" s="102"/>
      <c r="DI600" s="102"/>
      <c r="DJ600" s="102"/>
      <c r="DK600" s="102"/>
      <c r="DL600" s="102"/>
      <c r="DM600" s="102"/>
      <c r="DN600" s="102"/>
      <c r="DO600" s="102"/>
      <c r="DP600" s="102"/>
      <c r="DQ600" s="102"/>
      <c r="DR600" s="102"/>
      <c r="DS600" s="102"/>
      <c r="DT600" s="102"/>
      <c r="DU600" s="102"/>
      <c r="DV600" s="102"/>
      <c r="DW600" s="102"/>
      <c r="DX600" s="102"/>
      <c r="DY600" s="102"/>
      <c r="DZ600" s="102"/>
      <c r="EA600" s="102"/>
      <c r="EB600" s="102"/>
      <c r="EC600" s="102"/>
      <c r="ED600" s="102"/>
      <c r="EE600" s="102"/>
      <c r="EF600" s="102"/>
      <c r="EG600" s="102"/>
      <c r="EH600" s="102"/>
      <c r="EI600" s="102"/>
      <c r="EJ600" s="102"/>
      <c r="EK600" s="102"/>
      <c r="EL600" s="102"/>
      <c r="EM600" s="102"/>
      <c r="EN600" s="102"/>
      <c r="EO600" s="102"/>
      <c r="EP600" s="102"/>
      <c r="EQ600" s="102"/>
      <c r="ER600" s="102"/>
      <c r="ES600" s="102"/>
      <c r="ET600" s="102"/>
      <c r="EU600" s="102"/>
      <c r="EV600" s="102"/>
      <c r="EW600" s="102"/>
      <c r="EX600" s="102"/>
      <c r="EY600" s="102"/>
      <c r="EZ600" s="102"/>
      <c r="FA600" s="102"/>
      <c r="FB600" s="102"/>
      <c r="FC600" s="102"/>
      <c r="FD600" s="102"/>
      <c r="FE600" s="102"/>
      <c r="FF600" s="102"/>
      <c r="FG600" s="102"/>
      <c r="FH600" s="102"/>
      <c r="FI600" s="102"/>
      <c r="FJ600" s="102"/>
      <c r="FK600" s="102"/>
      <c r="FL600" s="102"/>
      <c r="FM600" s="102"/>
      <c r="FN600" s="102"/>
      <c r="FO600" s="102"/>
      <c r="FP600" s="102"/>
      <c r="FQ600" s="102"/>
      <c r="FR600" s="102"/>
      <c r="FS600" s="102"/>
      <c r="FT600" s="102"/>
      <c r="FU600" s="102"/>
      <c r="FV600" s="102"/>
      <c r="FW600" s="102"/>
      <c r="FX600" s="102"/>
      <c r="FY600" s="102"/>
      <c r="FZ600" s="102"/>
      <c r="GA600" s="102"/>
      <c r="GB600" s="102"/>
      <c r="GC600" s="102"/>
      <c r="GD600" s="102"/>
      <c r="GE600" s="102"/>
      <c r="GF600" s="102"/>
      <c r="GG600" s="102"/>
      <c r="GH600" s="102"/>
      <c r="GI600" s="102"/>
      <c r="GJ600" s="102"/>
      <c r="GK600" s="102"/>
      <c r="GL600" s="102"/>
      <c r="GM600" s="102"/>
      <c r="GN600" s="102"/>
      <c r="GO600" s="102"/>
      <c r="GP600" s="102"/>
      <c r="GQ600" s="102"/>
      <c r="GR600" s="102"/>
      <c r="GS600" s="102"/>
      <c r="GT600" s="102"/>
      <c r="GU600" s="102"/>
      <c r="GV600" s="102"/>
      <c r="GW600" s="102"/>
      <c r="GX600" s="102"/>
      <c r="GY600" s="102"/>
      <c r="GZ600" s="102"/>
      <c r="HA600" s="102"/>
      <c r="HB600" s="102"/>
      <c r="HC600" s="102"/>
      <c r="HD600" s="102"/>
      <c r="HE600" s="102"/>
      <c r="HF600" s="102"/>
      <c r="HG600" s="102"/>
      <c r="HH600" s="102"/>
      <c r="HI600" s="102"/>
      <c r="HJ600" s="102"/>
      <c r="HK600" s="102"/>
      <c r="HL600" s="102"/>
      <c r="HM600" s="102"/>
      <c r="HN600" s="102"/>
      <c r="HO600" s="102"/>
      <c r="HP600" s="102"/>
      <c r="HQ600" s="102"/>
      <c r="HR600" s="102"/>
      <c r="HS600" s="102"/>
    </row>
    <row r="601" spans="1:227" s="28" customFormat="1" ht="12" thickBot="1" x14ac:dyDescent="0.25">
      <c r="A601" s="46" t="s">
        <v>414</v>
      </c>
      <c r="B601" s="47">
        <v>31561730556</v>
      </c>
      <c r="C601" s="47"/>
      <c r="D601" s="46" t="s">
        <v>31</v>
      </c>
      <c r="E601" s="47"/>
      <c r="F601" s="48">
        <v>45502</v>
      </c>
      <c r="G601" s="48">
        <v>45870</v>
      </c>
      <c r="H601" s="46" t="s">
        <v>412</v>
      </c>
      <c r="I601" s="49"/>
      <c r="J601" s="46" t="s">
        <v>44</v>
      </c>
      <c r="K601" s="46"/>
      <c r="L601" s="46" t="s">
        <v>413</v>
      </c>
      <c r="M601" s="46"/>
      <c r="N601" s="20"/>
      <c r="O601" s="20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01"/>
      <c r="BG601" s="102"/>
      <c r="BH601" s="102"/>
      <c r="BI601" s="102"/>
      <c r="BJ601" s="102"/>
      <c r="BK601" s="102"/>
      <c r="BL601" s="102"/>
      <c r="BM601" s="102"/>
      <c r="BN601" s="102"/>
      <c r="BO601" s="102"/>
      <c r="BP601" s="102"/>
      <c r="BQ601" s="102"/>
      <c r="BR601" s="102"/>
      <c r="BS601" s="102"/>
      <c r="BT601" s="102"/>
      <c r="BU601" s="102"/>
      <c r="BV601" s="102"/>
      <c r="BW601" s="102"/>
      <c r="BX601" s="102"/>
      <c r="BY601" s="102"/>
      <c r="BZ601" s="102"/>
      <c r="CA601" s="102"/>
      <c r="CB601" s="102"/>
      <c r="CC601" s="102"/>
      <c r="CD601" s="102"/>
      <c r="CE601" s="102"/>
      <c r="CF601" s="102"/>
      <c r="CG601" s="102"/>
      <c r="CH601" s="102"/>
      <c r="CI601" s="102"/>
      <c r="CJ601" s="102"/>
      <c r="CK601" s="102"/>
      <c r="CL601" s="102"/>
      <c r="CM601" s="102"/>
      <c r="CN601" s="102"/>
      <c r="CO601" s="102"/>
      <c r="CP601" s="102"/>
      <c r="CQ601" s="102"/>
      <c r="CR601" s="102"/>
      <c r="CS601" s="102"/>
      <c r="CT601" s="102"/>
      <c r="CU601" s="102"/>
      <c r="CV601" s="102"/>
      <c r="CW601" s="102"/>
      <c r="CX601" s="102"/>
      <c r="CY601" s="102"/>
      <c r="CZ601" s="102"/>
      <c r="DA601" s="102"/>
      <c r="DB601" s="102"/>
      <c r="DC601" s="102"/>
      <c r="DD601" s="102"/>
      <c r="DE601" s="102"/>
      <c r="DF601" s="102"/>
      <c r="DG601" s="102"/>
      <c r="DH601" s="102"/>
      <c r="DI601" s="102"/>
      <c r="DJ601" s="102"/>
      <c r="DK601" s="102"/>
      <c r="DL601" s="102"/>
      <c r="DM601" s="102"/>
      <c r="DN601" s="102"/>
      <c r="DO601" s="102"/>
      <c r="DP601" s="102"/>
      <c r="DQ601" s="102"/>
      <c r="DR601" s="102"/>
      <c r="DS601" s="102"/>
      <c r="DT601" s="102"/>
      <c r="DU601" s="102"/>
      <c r="DV601" s="102"/>
      <c r="DW601" s="102"/>
      <c r="DX601" s="102"/>
      <c r="DY601" s="102"/>
      <c r="DZ601" s="102"/>
      <c r="EA601" s="102"/>
      <c r="EB601" s="102"/>
      <c r="EC601" s="102"/>
      <c r="ED601" s="102"/>
      <c r="EE601" s="102"/>
      <c r="EF601" s="102"/>
      <c r="EG601" s="102"/>
      <c r="EH601" s="102"/>
      <c r="EI601" s="102"/>
      <c r="EJ601" s="102"/>
      <c r="EK601" s="102"/>
      <c r="EL601" s="102"/>
      <c r="EM601" s="102"/>
      <c r="EN601" s="102"/>
      <c r="EO601" s="102"/>
      <c r="EP601" s="102"/>
      <c r="EQ601" s="102"/>
      <c r="ER601" s="102"/>
      <c r="ES601" s="102"/>
      <c r="ET601" s="102"/>
      <c r="EU601" s="102"/>
      <c r="EV601" s="102"/>
      <c r="EW601" s="102"/>
      <c r="EX601" s="102"/>
      <c r="EY601" s="102"/>
      <c r="EZ601" s="102"/>
      <c r="FA601" s="102"/>
      <c r="FB601" s="102"/>
      <c r="FC601" s="102"/>
      <c r="FD601" s="102"/>
      <c r="FE601" s="102"/>
      <c r="FF601" s="102"/>
      <c r="FG601" s="102"/>
      <c r="FH601" s="102"/>
      <c r="FI601" s="102"/>
      <c r="FJ601" s="102"/>
      <c r="FK601" s="102"/>
      <c r="FL601" s="102"/>
      <c r="FM601" s="102"/>
      <c r="FN601" s="102"/>
      <c r="FO601" s="102"/>
      <c r="FP601" s="102"/>
      <c r="FQ601" s="102"/>
      <c r="FR601" s="102"/>
      <c r="FS601" s="102"/>
      <c r="FT601" s="102"/>
      <c r="FU601" s="102"/>
      <c r="FV601" s="102"/>
      <c r="FW601" s="102"/>
      <c r="FX601" s="102"/>
      <c r="FY601" s="102"/>
      <c r="FZ601" s="102"/>
      <c r="GA601" s="102"/>
      <c r="GB601" s="102"/>
      <c r="GC601" s="102"/>
      <c r="GD601" s="102"/>
      <c r="GE601" s="102"/>
      <c r="GF601" s="102"/>
      <c r="GG601" s="102"/>
      <c r="GH601" s="102"/>
      <c r="GI601" s="102"/>
      <c r="GJ601" s="102"/>
      <c r="GK601" s="102"/>
      <c r="GL601" s="102"/>
      <c r="GM601" s="102"/>
      <c r="GN601" s="102"/>
      <c r="GO601" s="102"/>
      <c r="GP601" s="102"/>
      <c r="GQ601" s="102"/>
      <c r="GR601" s="102"/>
      <c r="GS601" s="102"/>
      <c r="GT601" s="102"/>
      <c r="GU601" s="102"/>
      <c r="GV601" s="102"/>
      <c r="GW601" s="102"/>
      <c r="GX601" s="102"/>
      <c r="GY601" s="102"/>
      <c r="GZ601" s="102"/>
      <c r="HA601" s="102"/>
      <c r="HB601" s="102"/>
      <c r="HC601" s="102"/>
      <c r="HD601" s="102"/>
      <c r="HE601" s="102"/>
      <c r="HF601" s="102"/>
      <c r="HG601" s="102"/>
      <c r="HH601" s="102"/>
      <c r="HI601" s="102"/>
      <c r="HJ601" s="102"/>
      <c r="HK601" s="102"/>
      <c r="HL601" s="102"/>
      <c r="HM601" s="102"/>
      <c r="HN601" s="102"/>
      <c r="HO601" s="102"/>
      <c r="HP601" s="102"/>
      <c r="HQ601" s="102"/>
      <c r="HR601" s="102"/>
      <c r="HS601" s="102"/>
    </row>
    <row r="602" spans="1:227" x14ac:dyDescent="0.2">
      <c r="A602" s="46" t="s">
        <v>923</v>
      </c>
      <c r="B602" s="47">
        <v>27976850408</v>
      </c>
      <c r="C602" s="47">
        <v>596400179</v>
      </c>
      <c r="D602" s="46" t="s">
        <v>27</v>
      </c>
      <c r="E602" s="47"/>
      <c r="F602" s="48"/>
      <c r="G602" s="48">
        <v>45890</v>
      </c>
      <c r="H602" s="46" t="s">
        <v>922</v>
      </c>
      <c r="I602" s="49"/>
      <c r="J602" s="46" t="s">
        <v>44</v>
      </c>
      <c r="K602" s="46">
        <f>1256.7*0.6</f>
        <v>754.02</v>
      </c>
      <c r="L602" s="46" t="s">
        <v>924</v>
      </c>
      <c r="M602" s="46" t="s">
        <v>90</v>
      </c>
      <c r="N602" s="20" t="s">
        <v>925</v>
      </c>
    </row>
    <row r="603" spans="1:227" s="28" customFormat="1" x14ac:dyDescent="0.2">
      <c r="A603" s="46" t="s">
        <v>928</v>
      </c>
      <c r="B603" s="47">
        <v>7330478769</v>
      </c>
      <c r="C603" s="47" t="s">
        <v>929</v>
      </c>
      <c r="D603" s="46" t="s">
        <v>27</v>
      </c>
      <c r="E603" s="47"/>
      <c r="F603" s="48">
        <v>45891</v>
      </c>
      <c r="G603" s="48">
        <v>45891</v>
      </c>
      <c r="H603" s="46" t="s">
        <v>930</v>
      </c>
      <c r="I603" s="49"/>
      <c r="J603" s="46" t="s">
        <v>19</v>
      </c>
      <c r="K603" s="46"/>
      <c r="L603" s="46" t="s">
        <v>931</v>
      </c>
      <c r="M603" s="46"/>
      <c r="N603" s="20" t="s">
        <v>932</v>
      </c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</row>
    <row r="604" spans="1:227" s="28" customFormat="1" x14ac:dyDescent="0.2">
      <c r="A604" s="46" t="s">
        <v>928</v>
      </c>
      <c r="B604" s="47">
        <v>7330478769</v>
      </c>
      <c r="C604" s="47" t="s">
        <v>929</v>
      </c>
      <c r="D604" s="46" t="s">
        <v>31</v>
      </c>
      <c r="E604" s="47"/>
      <c r="F604" s="48">
        <v>45891</v>
      </c>
      <c r="G604" s="48">
        <v>45891</v>
      </c>
      <c r="H604" s="46" t="s">
        <v>930</v>
      </c>
      <c r="I604" s="49"/>
      <c r="J604" s="46" t="s">
        <v>19</v>
      </c>
      <c r="K604" s="46"/>
      <c r="L604" s="46" t="s">
        <v>931</v>
      </c>
      <c r="M604" s="46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</row>
    <row r="605" spans="1:227" s="28" customFormat="1" x14ac:dyDescent="0.2">
      <c r="A605" s="46" t="s">
        <v>948</v>
      </c>
      <c r="B605" s="47">
        <v>44422052148</v>
      </c>
      <c r="C605" s="47"/>
      <c r="D605" s="47" t="s">
        <v>27</v>
      </c>
      <c r="E605" s="47"/>
      <c r="F605" s="48">
        <v>45909</v>
      </c>
      <c r="G605" s="48"/>
      <c r="H605" s="46" t="s">
        <v>949</v>
      </c>
      <c r="I605" s="49"/>
      <c r="J605" s="46" t="s">
        <v>19</v>
      </c>
      <c r="K605" s="46"/>
      <c r="L605" s="46"/>
      <c r="M605" s="46"/>
      <c r="N605" s="27">
        <v>36387</v>
      </c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</row>
    <row r="606" spans="1:227" s="28" customFormat="1" x14ac:dyDescent="0.2">
      <c r="A606" s="155" t="s">
        <v>153</v>
      </c>
      <c r="B606" s="159">
        <v>26105394998</v>
      </c>
      <c r="C606" s="159"/>
      <c r="D606" s="159" t="s">
        <v>27</v>
      </c>
      <c r="E606" s="159"/>
      <c r="F606" s="160">
        <v>45908</v>
      </c>
      <c r="G606" s="160">
        <v>45908</v>
      </c>
      <c r="H606" s="155" t="s">
        <v>493</v>
      </c>
      <c r="I606" s="161"/>
      <c r="J606" s="155"/>
      <c r="K606" s="155"/>
      <c r="L606" s="155" t="s">
        <v>494</v>
      </c>
      <c r="M606" s="155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</row>
    <row r="607" spans="1:227" s="28" customFormat="1" x14ac:dyDescent="0.2">
      <c r="A607" s="155" t="s">
        <v>153</v>
      </c>
      <c r="B607" s="159">
        <v>26105394998</v>
      </c>
      <c r="C607" s="159"/>
      <c r="D607" s="159" t="s">
        <v>31</v>
      </c>
      <c r="E607" s="159"/>
      <c r="F607" s="160">
        <v>45908</v>
      </c>
      <c r="G607" s="160">
        <v>45908</v>
      </c>
      <c r="H607" s="155" t="s">
        <v>493</v>
      </c>
      <c r="I607" s="161"/>
      <c r="J607" s="155"/>
      <c r="K607" s="155"/>
      <c r="L607" s="155" t="s">
        <v>494</v>
      </c>
      <c r="M607" s="155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</row>
    <row r="608" spans="1:227" s="28" customFormat="1" x14ac:dyDescent="0.2">
      <c r="A608" s="207" t="s">
        <v>496</v>
      </c>
      <c r="B608" s="47">
        <v>69805191504</v>
      </c>
      <c r="C608" s="47"/>
      <c r="D608" s="46" t="s">
        <v>27</v>
      </c>
      <c r="E608" s="47" t="s">
        <v>960</v>
      </c>
      <c r="F608" s="48">
        <v>45936</v>
      </c>
      <c r="G608" s="48">
        <v>45948</v>
      </c>
      <c r="H608" s="71" t="s">
        <v>497</v>
      </c>
      <c r="I608" s="49"/>
      <c r="J608" s="46" t="s">
        <v>44</v>
      </c>
      <c r="K608" s="162"/>
      <c r="L608" s="46" t="s">
        <v>630</v>
      </c>
      <c r="M608" s="46" t="s">
        <v>752</v>
      </c>
      <c r="N608" s="20">
        <v>29530</v>
      </c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</row>
    <row r="609" spans="1:57" s="21" customFormat="1" x14ac:dyDescent="0.2">
      <c r="A609" s="46" t="s">
        <v>965</v>
      </c>
      <c r="B609" s="47">
        <v>51490457218</v>
      </c>
      <c r="C609" s="47"/>
      <c r="D609" s="46" t="s">
        <v>27</v>
      </c>
      <c r="E609" s="47"/>
      <c r="F609" s="48">
        <v>45936</v>
      </c>
      <c r="G609" s="48"/>
      <c r="H609" s="46" t="s">
        <v>966</v>
      </c>
      <c r="I609" s="49"/>
      <c r="J609" s="46" t="s">
        <v>44</v>
      </c>
      <c r="K609" s="46"/>
      <c r="L609" s="46" t="s">
        <v>964</v>
      </c>
      <c r="M609" s="46"/>
      <c r="N609" s="20" t="s">
        <v>963</v>
      </c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</row>
    <row r="610" spans="1:57" s="21" customFormat="1" x14ac:dyDescent="0.2">
      <c r="A610" s="46" t="s">
        <v>965</v>
      </c>
      <c r="B610" s="47">
        <v>51490457218</v>
      </c>
      <c r="C610" s="47"/>
      <c r="D610" s="46" t="s">
        <v>31</v>
      </c>
      <c r="E610" s="47"/>
      <c r="F610" s="48">
        <v>45936</v>
      </c>
      <c r="G610" s="48"/>
      <c r="H610" s="46"/>
      <c r="I610" s="49"/>
      <c r="J610" s="46"/>
      <c r="K610" s="46"/>
      <c r="L610" s="46"/>
      <c r="M610" s="46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</row>
    <row r="611" spans="1:57" s="21" customFormat="1" x14ac:dyDescent="0.2">
      <c r="A611" s="46" t="s">
        <v>968</v>
      </c>
      <c r="B611" s="47">
        <v>45616134954</v>
      </c>
      <c r="C611" s="47"/>
      <c r="D611" s="46" t="s">
        <v>31</v>
      </c>
      <c r="E611" s="47"/>
      <c r="F611" s="48">
        <v>45938</v>
      </c>
      <c r="G611" s="48"/>
      <c r="H611" s="46" t="s">
        <v>969</v>
      </c>
      <c r="I611" s="49"/>
      <c r="J611" s="46" t="s">
        <v>44</v>
      </c>
      <c r="K611" s="46"/>
      <c r="L611" s="46" t="s">
        <v>970</v>
      </c>
      <c r="M611" s="46"/>
      <c r="N611" s="20" t="s">
        <v>971</v>
      </c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</row>
    <row r="612" spans="1:57" x14ac:dyDescent="0.2">
      <c r="A612" s="155" t="s">
        <v>972</v>
      </c>
      <c r="B612" s="159">
        <v>15667999710</v>
      </c>
      <c r="C612" s="159"/>
      <c r="D612" s="155" t="s">
        <v>31</v>
      </c>
      <c r="E612" s="159"/>
      <c r="F612" s="160">
        <v>45944</v>
      </c>
      <c r="G612" s="160">
        <v>45946</v>
      </c>
      <c r="H612" s="155" t="s">
        <v>974</v>
      </c>
      <c r="I612" s="161"/>
      <c r="J612" s="155"/>
      <c r="K612" s="155"/>
      <c r="L612" s="155"/>
      <c r="M612" s="155"/>
      <c r="N612" s="64"/>
      <c r="O612" s="64"/>
    </row>
    <row r="613" spans="1:57" x14ac:dyDescent="0.2">
      <c r="A613" s="46" t="s">
        <v>485</v>
      </c>
      <c r="B613" s="47">
        <v>20183118880</v>
      </c>
      <c r="C613" s="47"/>
      <c r="D613" s="46" t="s">
        <v>27</v>
      </c>
      <c r="E613" s="47"/>
      <c r="F613" s="48">
        <v>45940</v>
      </c>
      <c r="G613" s="48">
        <v>45942</v>
      </c>
      <c r="H613" s="46" t="s">
        <v>486</v>
      </c>
      <c r="I613" s="49"/>
      <c r="J613" s="46" t="s">
        <v>19</v>
      </c>
      <c r="K613" s="46"/>
      <c r="L613" s="46" t="s">
        <v>487</v>
      </c>
      <c r="M613" s="46"/>
      <c r="N613" s="20" t="s">
        <v>488</v>
      </c>
    </row>
    <row r="614" spans="1:57" x14ac:dyDescent="0.2">
      <c r="A614" s="46" t="s">
        <v>450</v>
      </c>
      <c r="B614" s="47">
        <v>6211022844</v>
      </c>
      <c r="C614" s="47"/>
      <c r="D614" s="46" t="s">
        <v>31</v>
      </c>
      <c r="E614" s="47"/>
      <c r="F614" s="48"/>
      <c r="G614" s="48">
        <v>45958</v>
      </c>
      <c r="H614" s="46" t="s">
        <v>504</v>
      </c>
      <c r="I614" s="49"/>
      <c r="J614" s="46"/>
      <c r="K614" s="46"/>
      <c r="L614" s="46"/>
      <c r="M614" s="46" t="s">
        <v>976</v>
      </c>
    </row>
    <row r="615" spans="1:57" x14ac:dyDescent="0.2">
      <c r="A615" s="46" t="s">
        <v>511</v>
      </c>
      <c r="B615" s="47">
        <v>21188076632</v>
      </c>
      <c r="C615" s="47"/>
      <c r="D615" s="46" t="s">
        <v>27</v>
      </c>
      <c r="E615" s="47">
        <v>108254236</v>
      </c>
      <c r="F615" s="48">
        <v>45964</v>
      </c>
      <c r="G615" s="48">
        <v>45964</v>
      </c>
      <c r="H615" s="46" t="s">
        <v>512</v>
      </c>
      <c r="I615" s="49"/>
      <c r="J615" s="46" t="s">
        <v>44</v>
      </c>
      <c r="K615" s="46"/>
      <c r="L615" s="46" t="s">
        <v>513</v>
      </c>
      <c r="M615" s="46"/>
      <c r="N615" s="27">
        <v>24056</v>
      </c>
    </row>
    <row r="616" spans="1:57" s="28" customFormat="1" x14ac:dyDescent="0.2">
      <c r="A616" s="46" t="s">
        <v>983</v>
      </c>
      <c r="B616" s="47">
        <v>10415461372</v>
      </c>
      <c r="C616" s="47">
        <v>5334184700</v>
      </c>
      <c r="D616" s="46" t="s">
        <v>27</v>
      </c>
      <c r="E616" s="47" t="s">
        <v>984</v>
      </c>
      <c r="F616" s="48">
        <v>45972</v>
      </c>
      <c r="G616" s="48"/>
      <c r="H616" s="46" t="s">
        <v>980</v>
      </c>
      <c r="I616" s="49"/>
      <c r="J616" s="46" t="s">
        <v>44</v>
      </c>
      <c r="K616" s="46"/>
      <c r="L616" s="46" t="s">
        <v>981</v>
      </c>
      <c r="M616" s="46"/>
      <c r="N616" s="20" t="s">
        <v>982</v>
      </c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</row>
    <row r="617" spans="1:57" x14ac:dyDescent="0.2">
      <c r="A617" s="46" t="s">
        <v>989</v>
      </c>
      <c r="B617" s="47">
        <v>59134045708</v>
      </c>
      <c r="C617" s="47"/>
      <c r="D617" s="46" t="s">
        <v>373</v>
      </c>
      <c r="E617" s="47"/>
      <c r="F617" s="48"/>
      <c r="G617" s="48"/>
      <c r="H617" s="46"/>
      <c r="I617" s="49"/>
      <c r="J617" s="46"/>
      <c r="K617" s="46"/>
      <c r="L617" s="46"/>
      <c r="M617" s="46"/>
    </row>
    <row r="618" spans="1:57" x14ac:dyDescent="0.2">
      <c r="A618" s="46" t="s">
        <v>996</v>
      </c>
      <c r="B618" s="47"/>
      <c r="C618" s="47"/>
      <c r="D618" s="46" t="s">
        <v>31</v>
      </c>
      <c r="E618" s="47"/>
      <c r="F618" s="48"/>
      <c r="G618" s="48"/>
      <c r="H618" s="46"/>
      <c r="I618" s="49"/>
      <c r="J618" s="37"/>
      <c r="K618" s="71">
        <v>5318.58</v>
      </c>
      <c r="L618" s="46"/>
      <c r="M618" s="46"/>
    </row>
    <row r="619" spans="1:57" s="21" customFormat="1" x14ac:dyDescent="0.2">
      <c r="A619" s="46" t="s">
        <v>33</v>
      </c>
      <c r="B619" s="47">
        <v>21518791600</v>
      </c>
      <c r="C619" s="47"/>
      <c r="D619" s="46" t="s">
        <v>27</v>
      </c>
      <c r="E619" s="47"/>
      <c r="F619" s="48">
        <v>45632</v>
      </c>
      <c r="G619" s="48">
        <v>46011</v>
      </c>
      <c r="H619" s="46" t="s">
        <v>579</v>
      </c>
      <c r="I619" s="49"/>
      <c r="J619" s="46" t="s">
        <v>44</v>
      </c>
      <c r="K619" s="46"/>
      <c r="L619" s="46" t="s">
        <v>580</v>
      </c>
      <c r="M619" s="46" t="s">
        <v>140</v>
      </c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</row>
    <row r="620" spans="1:57" x14ac:dyDescent="0.2">
      <c r="A620" s="46" t="s">
        <v>352</v>
      </c>
      <c r="B620" s="47">
        <v>38581298790</v>
      </c>
      <c r="C620" s="47">
        <v>5324280877</v>
      </c>
      <c r="D620" s="46" t="s">
        <v>97</v>
      </c>
      <c r="E620" s="47"/>
      <c r="F620" s="48">
        <v>45640</v>
      </c>
      <c r="G620" s="48">
        <v>46005</v>
      </c>
      <c r="H620" s="46"/>
      <c r="I620" s="49"/>
      <c r="J620" s="46" t="s">
        <v>19</v>
      </c>
      <c r="K620" s="46"/>
      <c r="L620" s="46"/>
      <c r="M620" s="46"/>
      <c r="N620" s="20" t="s">
        <v>574</v>
      </c>
    </row>
    <row r="621" spans="1:57" s="28" customFormat="1" x14ac:dyDescent="0.2">
      <c r="A621" s="46" t="s">
        <v>582</v>
      </c>
      <c r="B621" s="47">
        <v>8510713515</v>
      </c>
      <c r="C621" s="47"/>
      <c r="D621" s="46" t="s">
        <v>31</v>
      </c>
      <c r="E621" s="47"/>
      <c r="F621" s="48"/>
      <c r="G621" s="48"/>
      <c r="H621" s="46" t="s">
        <v>583</v>
      </c>
      <c r="I621" s="49"/>
      <c r="J621" s="46" t="s">
        <v>44</v>
      </c>
      <c r="K621" s="46"/>
      <c r="L621" s="46" t="s">
        <v>584</v>
      </c>
      <c r="M621" s="46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</row>
    <row r="622" spans="1:57" s="28" customFormat="1" x14ac:dyDescent="0.2">
      <c r="A622" s="46" t="s">
        <v>586</v>
      </c>
      <c r="B622" s="47">
        <v>38515891516</v>
      </c>
      <c r="C622" s="47"/>
      <c r="D622" s="46" t="s">
        <v>27</v>
      </c>
      <c r="E622" s="47"/>
      <c r="F622" s="48"/>
      <c r="G622" s="48"/>
      <c r="H622" s="46" t="s">
        <v>587</v>
      </c>
      <c r="I622" s="49"/>
      <c r="J622" s="46" t="s">
        <v>19</v>
      </c>
      <c r="K622" s="46"/>
      <c r="L622" s="46" t="s">
        <v>588</v>
      </c>
      <c r="M622" s="46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</row>
    <row r="623" spans="1:57" s="44" customFormat="1" x14ac:dyDescent="0.2">
      <c r="A623" s="46" t="s">
        <v>13</v>
      </c>
      <c r="B623" s="47">
        <v>6211022844</v>
      </c>
      <c r="C623" s="47"/>
      <c r="D623" s="46" t="s">
        <v>27</v>
      </c>
      <c r="E623" s="47">
        <v>92291909</v>
      </c>
      <c r="F623" s="48">
        <v>45653</v>
      </c>
      <c r="G623" s="48">
        <v>46018</v>
      </c>
      <c r="H623" s="46" t="s">
        <v>545</v>
      </c>
      <c r="I623" s="49"/>
      <c r="J623" s="46"/>
      <c r="K623" s="46"/>
      <c r="L623" s="46" t="s">
        <v>45</v>
      </c>
      <c r="M623" s="46" t="s">
        <v>46</v>
      </c>
      <c r="N623" s="20"/>
      <c r="O623" s="20"/>
    </row>
    <row r="624" spans="1:57" s="28" customFormat="1" x14ac:dyDescent="0.2">
      <c r="A624" s="46" t="s">
        <v>253</v>
      </c>
      <c r="B624" s="47">
        <v>30647427700</v>
      </c>
      <c r="C624" s="47"/>
      <c r="D624" s="46" t="s">
        <v>596</v>
      </c>
      <c r="E624" s="47"/>
      <c r="F624" s="48">
        <v>45653</v>
      </c>
      <c r="G624" s="48">
        <v>46019</v>
      </c>
      <c r="H624" s="46" t="s">
        <v>597</v>
      </c>
      <c r="I624" s="49"/>
      <c r="J624" s="46"/>
      <c r="K624" s="46"/>
      <c r="L624" s="46" t="s">
        <v>598</v>
      </c>
      <c r="M624" s="46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</row>
    <row r="625" spans="1:13" x14ac:dyDescent="0.2">
      <c r="A625" s="46" t="s">
        <v>13</v>
      </c>
      <c r="B625" s="47"/>
      <c r="C625" s="47"/>
      <c r="D625" s="46" t="s">
        <v>27</v>
      </c>
      <c r="E625" s="47" t="s">
        <v>603</v>
      </c>
      <c r="F625" s="48">
        <v>45657</v>
      </c>
      <c r="G625" s="48">
        <v>46022</v>
      </c>
      <c r="H625" s="46" t="s">
        <v>604</v>
      </c>
      <c r="I625" s="49"/>
      <c r="J625" s="46"/>
      <c r="K625" s="46"/>
      <c r="L625" s="46"/>
      <c r="M625" s="46"/>
    </row>
    <row r="633" spans="1:13" x14ac:dyDescent="0.2">
      <c r="F633" s="27" t="s">
        <v>1020</v>
      </c>
    </row>
  </sheetData>
  <autoFilter ref="A1:N625" xr:uid="{00000000-0001-0000-0000-000000000000}"/>
  <sortState xmlns:xlrd2="http://schemas.microsoft.com/office/spreadsheetml/2017/richdata2" ref="A2:O625">
    <sortCondition descending="1" ref="I1:I625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1E20-C35C-4CAB-A807-65D61933EA9F}">
  <dimension ref="A1:S64"/>
  <sheetViews>
    <sheetView topLeftCell="A18" workbookViewId="0">
      <selection activeCell="C11" sqref="C11"/>
    </sheetView>
  </sheetViews>
  <sheetFormatPr defaultRowHeight="14.4" x14ac:dyDescent="0.3"/>
  <cols>
    <col min="1" max="1" width="24.44140625" style="1" customWidth="1"/>
    <col min="2" max="2" width="17" style="1" customWidth="1"/>
    <col min="3" max="3" width="27.5546875" style="1" customWidth="1"/>
    <col min="4" max="4" width="12" style="1" customWidth="1"/>
    <col min="5" max="5" width="21.77734375" style="1" customWidth="1"/>
    <col min="6" max="7" width="16.44140625" style="1" customWidth="1"/>
    <col min="8" max="8" width="16.5546875" style="1" bestFit="1" customWidth="1"/>
    <col min="9" max="9" width="16.44140625" style="1" customWidth="1"/>
    <col min="10" max="10" width="14.109375" style="1" customWidth="1"/>
    <col min="11" max="11" width="15" style="1" customWidth="1"/>
    <col min="12" max="12" width="9.77734375" style="1" customWidth="1"/>
    <col min="13" max="13" width="8.88671875" style="1"/>
    <col min="14" max="14" width="13.21875" style="1" customWidth="1"/>
    <col min="15" max="15" width="12.21875" style="1" customWidth="1"/>
    <col min="16" max="18" width="8.88671875" style="1"/>
    <col min="19" max="19" width="14" style="1" customWidth="1"/>
    <col min="20" max="16384" width="8.88671875" style="1"/>
  </cols>
  <sheetData>
    <row r="1" spans="1:19" s="4" customFormat="1" ht="58.2" customHeight="1" x14ac:dyDescent="0.3">
      <c r="A1" s="2"/>
      <c r="B1" s="3" t="s">
        <v>101</v>
      </c>
      <c r="C1" s="2" t="s">
        <v>99</v>
      </c>
      <c r="D1" s="2" t="s">
        <v>100</v>
      </c>
      <c r="E1" s="3" t="s">
        <v>118</v>
      </c>
      <c r="F1" s="5" t="s">
        <v>119</v>
      </c>
      <c r="G1" s="5" t="s">
        <v>193</v>
      </c>
      <c r="H1" s="5" t="s">
        <v>194</v>
      </c>
      <c r="I1" s="5" t="s">
        <v>195</v>
      </c>
      <c r="J1" s="2" t="s">
        <v>334</v>
      </c>
      <c r="K1" s="4" t="s">
        <v>335</v>
      </c>
      <c r="L1" s="2" t="s">
        <v>336</v>
      </c>
      <c r="M1" s="2" t="s">
        <v>337</v>
      </c>
      <c r="N1" s="4" t="s">
        <v>338</v>
      </c>
      <c r="O1" s="4" t="s">
        <v>339</v>
      </c>
      <c r="P1" s="4" t="s">
        <v>340</v>
      </c>
      <c r="Q1" s="4" t="s">
        <v>341</v>
      </c>
      <c r="R1" s="4" t="s">
        <v>342</v>
      </c>
      <c r="S1" s="4" t="s">
        <v>337</v>
      </c>
    </row>
    <row r="2" spans="1:19" x14ac:dyDescent="0.3">
      <c r="A2" s="1" t="s">
        <v>125</v>
      </c>
      <c r="B2" s="1" t="s">
        <v>103</v>
      </c>
      <c r="C2" s="1">
        <v>1000</v>
      </c>
      <c r="D2" s="1">
        <v>14531046</v>
      </c>
      <c r="E2" s="6">
        <v>667591.31999999995</v>
      </c>
      <c r="F2" s="1" t="s">
        <v>44</v>
      </c>
      <c r="G2" s="7">
        <v>1</v>
      </c>
      <c r="H2" s="7"/>
      <c r="I2" s="7"/>
      <c r="J2" s="7"/>
      <c r="K2" s="7"/>
      <c r="L2" s="7"/>
      <c r="M2" s="7"/>
    </row>
    <row r="3" spans="1:19" x14ac:dyDescent="0.3">
      <c r="A3" s="1" t="s">
        <v>102</v>
      </c>
      <c r="B3" s="1" t="s">
        <v>103</v>
      </c>
      <c r="C3" s="1">
        <v>20000</v>
      </c>
      <c r="D3" s="1">
        <v>14422983</v>
      </c>
      <c r="E3" s="6">
        <v>703898.17</v>
      </c>
      <c r="F3" s="1" t="s">
        <v>20</v>
      </c>
      <c r="G3" s="7">
        <v>0.2</v>
      </c>
      <c r="H3" s="7"/>
      <c r="I3" s="7">
        <v>0.8</v>
      </c>
      <c r="J3" s="7"/>
      <c r="K3" s="7"/>
      <c r="L3" s="7"/>
      <c r="M3" s="7"/>
    </row>
    <row r="4" spans="1:19" x14ac:dyDescent="0.3">
      <c r="A4" s="1" t="s">
        <v>148</v>
      </c>
      <c r="B4" s="1" t="s">
        <v>103</v>
      </c>
      <c r="C4" s="1">
        <v>1200</v>
      </c>
      <c r="D4" s="1">
        <v>14566844</v>
      </c>
      <c r="E4" s="6">
        <v>306700.90999999997</v>
      </c>
      <c r="F4" s="1" t="s">
        <v>19</v>
      </c>
      <c r="G4" s="7"/>
      <c r="H4" s="7">
        <v>0.25</v>
      </c>
      <c r="I4" s="7">
        <v>0.75</v>
      </c>
      <c r="J4" s="7"/>
      <c r="K4" s="7"/>
      <c r="L4" s="7"/>
      <c r="M4" s="7"/>
    </row>
    <row r="5" spans="1:19" x14ac:dyDescent="0.3">
      <c r="A5" s="1" t="s">
        <v>146</v>
      </c>
      <c r="B5" s="1" t="s">
        <v>103</v>
      </c>
      <c r="C5" s="1">
        <v>1200</v>
      </c>
      <c r="D5" s="1">
        <v>14561329</v>
      </c>
      <c r="E5" s="6">
        <v>274766.40999999997</v>
      </c>
      <c r="F5" s="1" t="s">
        <v>19</v>
      </c>
      <c r="G5" s="7"/>
      <c r="H5" s="7">
        <v>0.25</v>
      </c>
      <c r="I5" s="7">
        <v>0.75</v>
      </c>
      <c r="J5" s="7"/>
      <c r="K5" s="7"/>
      <c r="L5" s="7"/>
      <c r="M5" s="7"/>
    </row>
    <row r="6" spans="1:19" x14ac:dyDescent="0.3">
      <c r="A6" s="1" t="s">
        <v>148</v>
      </c>
      <c r="B6" s="1" t="s">
        <v>103</v>
      </c>
      <c r="C6" s="1">
        <v>1200</v>
      </c>
      <c r="D6" s="1">
        <v>14566818</v>
      </c>
      <c r="E6" s="6">
        <v>123460.58</v>
      </c>
      <c r="F6" s="1" t="s">
        <v>19</v>
      </c>
      <c r="G6" s="7"/>
      <c r="H6" s="7">
        <v>0.25</v>
      </c>
      <c r="I6" s="7">
        <v>0.75</v>
      </c>
      <c r="J6" s="7"/>
      <c r="K6" s="7"/>
      <c r="L6" s="7"/>
      <c r="M6" s="7"/>
      <c r="N6" s="7"/>
      <c r="O6" s="7"/>
      <c r="P6" s="7"/>
      <c r="Q6" s="7"/>
    </row>
    <row r="7" spans="1:19" x14ac:dyDescent="0.3">
      <c r="A7" s="1" t="s">
        <v>170</v>
      </c>
      <c r="B7" s="1" t="s">
        <v>103</v>
      </c>
      <c r="C7" s="1">
        <v>3500</v>
      </c>
      <c r="D7" s="1">
        <v>14600896</v>
      </c>
      <c r="E7" s="6">
        <v>113944.71</v>
      </c>
      <c r="F7" s="1" t="s">
        <v>20</v>
      </c>
      <c r="G7" s="7"/>
      <c r="H7" s="7">
        <v>0.25</v>
      </c>
      <c r="I7" s="7">
        <v>0.75</v>
      </c>
      <c r="J7" s="7"/>
      <c r="K7" s="7"/>
      <c r="L7" s="7"/>
      <c r="M7" s="7"/>
      <c r="N7" s="7"/>
      <c r="O7" s="7"/>
      <c r="P7" s="7"/>
      <c r="Q7" s="7"/>
    </row>
    <row r="8" spans="1:19" x14ac:dyDescent="0.3">
      <c r="A8" s="1" t="s">
        <v>170</v>
      </c>
      <c r="B8" s="1" t="s">
        <v>103</v>
      </c>
      <c r="C8" s="1">
        <v>3500</v>
      </c>
      <c r="D8" s="1">
        <v>14600792</v>
      </c>
      <c r="E8" s="6">
        <v>106597.75999999999</v>
      </c>
      <c r="F8" s="1" t="s">
        <v>20</v>
      </c>
      <c r="G8" s="7"/>
      <c r="H8" s="7">
        <v>0.25</v>
      </c>
      <c r="I8" s="7">
        <v>0.75</v>
      </c>
      <c r="J8" s="7"/>
      <c r="K8" s="7"/>
      <c r="L8" s="7"/>
      <c r="M8" s="7"/>
      <c r="N8" s="7"/>
      <c r="O8" s="7"/>
      <c r="P8" s="7"/>
      <c r="Q8" s="7"/>
    </row>
    <row r="9" spans="1:19" x14ac:dyDescent="0.3">
      <c r="A9" s="1" t="s">
        <v>146</v>
      </c>
      <c r="B9" s="1" t="s">
        <v>103</v>
      </c>
      <c r="C9" s="1">
        <v>1200</v>
      </c>
      <c r="D9" s="1">
        <v>14561295</v>
      </c>
      <c r="E9" s="6">
        <v>88798.35</v>
      </c>
      <c r="F9" s="1" t="s">
        <v>19</v>
      </c>
      <c r="G9" s="7"/>
      <c r="H9" s="7">
        <v>0.25</v>
      </c>
      <c r="I9" s="7">
        <v>0.75</v>
      </c>
      <c r="J9" s="7"/>
      <c r="K9" s="7"/>
      <c r="L9" s="7"/>
      <c r="M9" s="7"/>
      <c r="N9" s="7"/>
      <c r="O9" s="7"/>
      <c r="P9" s="7"/>
      <c r="Q9" s="7"/>
    </row>
    <row r="10" spans="1:19" x14ac:dyDescent="0.3">
      <c r="A10" s="1" t="s">
        <v>145</v>
      </c>
      <c r="B10" s="1" t="s">
        <v>103</v>
      </c>
      <c r="C10" s="1">
        <v>1500</v>
      </c>
      <c r="D10" s="1">
        <v>14557136</v>
      </c>
      <c r="E10" s="6">
        <v>70421.06</v>
      </c>
      <c r="F10" s="1" t="s">
        <v>19</v>
      </c>
      <c r="G10" s="7"/>
      <c r="H10" s="7">
        <v>0.25</v>
      </c>
      <c r="I10" s="7">
        <v>0.75</v>
      </c>
      <c r="J10" s="7"/>
      <c r="K10" s="7"/>
      <c r="L10" s="7"/>
      <c r="M10" s="7"/>
      <c r="N10" s="7"/>
      <c r="O10" s="7"/>
      <c r="P10" s="7"/>
      <c r="Q10" s="7"/>
    </row>
    <row r="11" spans="1:19" x14ac:dyDescent="0.3">
      <c r="A11" s="1" t="s">
        <v>145</v>
      </c>
      <c r="B11" s="1" t="s">
        <v>103</v>
      </c>
      <c r="C11" s="1">
        <v>1500</v>
      </c>
      <c r="D11" s="1">
        <v>14557143</v>
      </c>
      <c r="E11" s="6">
        <v>68343.23</v>
      </c>
      <c r="F11" s="1" t="s">
        <v>19</v>
      </c>
      <c r="G11" s="7"/>
      <c r="H11" s="7">
        <v>0.25</v>
      </c>
      <c r="I11" s="7">
        <v>0.75</v>
      </c>
      <c r="J11" s="7"/>
      <c r="K11" s="7"/>
      <c r="L11" s="7"/>
      <c r="M11" s="7"/>
      <c r="N11" s="7"/>
      <c r="O11" s="7"/>
      <c r="P11" s="7"/>
      <c r="Q11" s="7"/>
    </row>
    <row r="12" spans="1:19" x14ac:dyDescent="0.3">
      <c r="A12" s="1" t="s">
        <v>147</v>
      </c>
      <c r="B12" s="1" t="s">
        <v>103</v>
      </c>
      <c r="C12" s="1">
        <v>1200</v>
      </c>
      <c r="D12" s="1">
        <v>14624612</v>
      </c>
      <c r="E12" s="6">
        <v>59297.4</v>
      </c>
      <c r="F12" s="1" t="s">
        <v>19</v>
      </c>
      <c r="G12" s="7"/>
      <c r="H12" s="7">
        <v>0.25</v>
      </c>
      <c r="I12" s="7">
        <v>0.75</v>
      </c>
      <c r="J12" s="7"/>
      <c r="K12" s="7"/>
      <c r="L12" s="7"/>
      <c r="M12" s="7"/>
      <c r="N12" s="7"/>
      <c r="O12" s="7"/>
      <c r="P12" s="7"/>
      <c r="Q12" s="7"/>
    </row>
    <row r="13" spans="1:19" x14ac:dyDescent="0.3">
      <c r="A13" s="1" t="s">
        <v>278</v>
      </c>
      <c r="B13" s="1" t="s">
        <v>103</v>
      </c>
      <c r="C13" s="1">
        <v>1500</v>
      </c>
      <c r="D13" s="1">
        <v>5959541</v>
      </c>
      <c r="E13" s="11">
        <v>485304.4</v>
      </c>
      <c r="F13" s="1" t="s">
        <v>44</v>
      </c>
      <c r="G13" s="7"/>
      <c r="H13" s="7"/>
      <c r="I13" s="7">
        <v>0.5</v>
      </c>
      <c r="J13" s="7">
        <v>0.1</v>
      </c>
      <c r="K13" s="7">
        <v>0.25</v>
      </c>
      <c r="L13" s="7">
        <v>0.15</v>
      </c>
      <c r="M13" s="7"/>
      <c r="N13" s="7"/>
      <c r="O13" s="7"/>
      <c r="P13" s="7"/>
      <c r="Q13" s="7"/>
    </row>
    <row r="14" spans="1:19" x14ac:dyDescent="0.3">
      <c r="A14" s="1" t="s">
        <v>187</v>
      </c>
      <c r="B14" s="1" t="s">
        <v>103</v>
      </c>
      <c r="C14" s="1">
        <v>1000</v>
      </c>
      <c r="D14" s="1">
        <v>14239272</v>
      </c>
      <c r="E14" s="11">
        <v>276222.56</v>
      </c>
      <c r="F14" s="1" t="s">
        <v>44</v>
      </c>
      <c r="G14" s="7">
        <v>1</v>
      </c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3">
      <c r="A15" s="1" t="s">
        <v>279</v>
      </c>
      <c r="B15" s="1" t="s">
        <v>103</v>
      </c>
      <c r="C15" s="1">
        <v>1000</v>
      </c>
      <c r="D15" s="1">
        <v>11337229</v>
      </c>
      <c r="E15" s="11">
        <v>72220.66</v>
      </c>
      <c r="F15" s="1" t="s">
        <v>19</v>
      </c>
      <c r="G15" s="7">
        <v>0.5</v>
      </c>
      <c r="H15" s="7"/>
      <c r="I15" s="7">
        <v>0.5</v>
      </c>
      <c r="J15" s="7"/>
      <c r="K15" s="7"/>
      <c r="L15" s="7"/>
      <c r="M15" s="7"/>
      <c r="N15" s="7"/>
      <c r="O15" s="7"/>
      <c r="P15" s="7"/>
      <c r="Q15" s="7"/>
    </row>
    <row r="16" spans="1:19" x14ac:dyDescent="0.3">
      <c r="A16" s="1" t="s">
        <v>280</v>
      </c>
      <c r="B16" s="1" t="s">
        <v>103</v>
      </c>
      <c r="C16" s="1">
        <v>1000</v>
      </c>
      <c r="D16" s="1">
        <v>12311431</v>
      </c>
      <c r="E16" s="11">
        <v>14593.93</v>
      </c>
      <c r="F16" s="1" t="s">
        <v>19</v>
      </c>
      <c r="G16" s="7">
        <v>0.5</v>
      </c>
      <c r="H16" s="7"/>
      <c r="I16" s="7">
        <v>0.5</v>
      </c>
      <c r="J16" s="7"/>
      <c r="K16" s="7"/>
      <c r="L16" s="7"/>
      <c r="M16" s="7"/>
      <c r="N16" s="7"/>
      <c r="O16" s="7"/>
      <c r="P16" s="7"/>
      <c r="Q16" s="7"/>
    </row>
    <row r="17" spans="1:19" x14ac:dyDescent="0.3">
      <c r="A17" s="1" t="s">
        <v>281</v>
      </c>
      <c r="B17" s="1" t="s">
        <v>103</v>
      </c>
      <c r="C17" s="1">
        <v>1000</v>
      </c>
      <c r="D17" s="1">
        <v>2932885</v>
      </c>
      <c r="E17" s="11">
        <v>639510.19999999995</v>
      </c>
      <c r="F17" s="1" t="s">
        <v>44</v>
      </c>
      <c r="G17" s="7">
        <v>0.2</v>
      </c>
      <c r="H17" s="7"/>
      <c r="I17" s="7">
        <v>0.8</v>
      </c>
      <c r="J17" s="7"/>
      <c r="K17" s="7"/>
      <c r="L17" s="7"/>
      <c r="M17" s="7"/>
      <c r="N17" s="7"/>
      <c r="O17" s="7"/>
      <c r="P17" s="7"/>
      <c r="Q17" s="7"/>
    </row>
    <row r="18" spans="1:19" x14ac:dyDescent="0.3">
      <c r="A18" s="1" t="s">
        <v>173</v>
      </c>
      <c r="B18" s="1" t="s">
        <v>103</v>
      </c>
      <c r="C18" s="1">
        <v>250</v>
      </c>
      <c r="D18" s="1">
        <v>3510545</v>
      </c>
      <c r="E18" s="11">
        <v>629104.89</v>
      </c>
      <c r="F18" s="1" t="s">
        <v>44</v>
      </c>
      <c r="G18" s="7">
        <v>0.5</v>
      </c>
      <c r="H18" s="7"/>
      <c r="I18" s="7">
        <v>0.5</v>
      </c>
      <c r="J18" s="7"/>
      <c r="K18" s="7"/>
      <c r="L18" s="7"/>
      <c r="M18" s="7"/>
      <c r="N18" s="7"/>
      <c r="O18" s="7"/>
      <c r="P18" s="7"/>
      <c r="Q18" s="7"/>
    </row>
    <row r="19" spans="1:19" x14ac:dyDescent="0.3">
      <c r="A19" s="1" t="s">
        <v>282</v>
      </c>
      <c r="B19" s="1" t="s">
        <v>103</v>
      </c>
      <c r="C19" s="1">
        <v>1000</v>
      </c>
      <c r="D19" s="1">
        <v>13339706</v>
      </c>
      <c r="E19" s="11">
        <v>14912.99</v>
      </c>
      <c r="F19" s="1" t="s">
        <v>44</v>
      </c>
      <c r="G19" s="7">
        <v>0.2</v>
      </c>
      <c r="H19" s="7"/>
      <c r="I19" s="7">
        <v>0.8</v>
      </c>
      <c r="J19" s="7"/>
      <c r="K19" s="7"/>
      <c r="L19" s="7"/>
      <c r="M19" s="7"/>
      <c r="N19" s="7"/>
      <c r="O19" s="7"/>
      <c r="P19" s="7"/>
      <c r="Q19" s="7"/>
    </row>
    <row r="20" spans="1:19" x14ac:dyDescent="0.3">
      <c r="A20" s="1" t="s">
        <v>283</v>
      </c>
      <c r="B20" s="1" t="s">
        <v>103</v>
      </c>
      <c r="C20" s="1">
        <v>5000</v>
      </c>
      <c r="D20" s="1">
        <v>15008480</v>
      </c>
      <c r="E20" s="11">
        <v>234599.42</v>
      </c>
      <c r="F20" s="1" t="s">
        <v>20</v>
      </c>
      <c r="G20" s="7"/>
      <c r="H20" s="7">
        <v>0.2</v>
      </c>
      <c r="I20" s="7">
        <v>0.8</v>
      </c>
      <c r="J20" s="7"/>
      <c r="K20" s="7"/>
      <c r="L20" s="7"/>
      <c r="M20" s="7"/>
      <c r="N20" s="7"/>
      <c r="O20" s="7"/>
      <c r="P20" s="7"/>
      <c r="Q20" s="7"/>
    </row>
    <row r="21" spans="1:19" x14ac:dyDescent="0.3">
      <c r="A21" s="1" t="s">
        <v>283</v>
      </c>
      <c r="B21" s="1" t="s">
        <v>103</v>
      </c>
      <c r="C21" s="1">
        <v>5000</v>
      </c>
      <c r="D21" s="1">
        <v>15008610</v>
      </c>
      <c r="E21" s="11">
        <v>234737.75</v>
      </c>
      <c r="F21" s="1" t="s">
        <v>20</v>
      </c>
      <c r="G21" s="7"/>
      <c r="H21" s="7">
        <v>0.2</v>
      </c>
      <c r="I21" s="7">
        <v>0.8</v>
      </c>
      <c r="J21" s="7"/>
      <c r="K21" s="7"/>
      <c r="L21" s="7"/>
      <c r="M21" s="7"/>
      <c r="N21" s="7"/>
      <c r="O21" s="7"/>
      <c r="P21" s="7"/>
      <c r="Q21" s="7"/>
    </row>
    <row r="22" spans="1:19" x14ac:dyDescent="0.3">
      <c r="A22" s="1" t="s">
        <v>283</v>
      </c>
      <c r="B22" s="1" t="s">
        <v>103</v>
      </c>
      <c r="C22" s="1">
        <v>1500</v>
      </c>
      <c r="D22" s="1">
        <v>15008508</v>
      </c>
      <c r="E22" s="11">
        <v>20015.87</v>
      </c>
      <c r="F22" s="1" t="s">
        <v>20</v>
      </c>
      <c r="G22" s="7"/>
      <c r="H22" s="7">
        <v>0.2</v>
      </c>
      <c r="I22" s="7">
        <v>0.8</v>
      </c>
      <c r="J22" s="7"/>
      <c r="K22" s="7"/>
      <c r="L22" s="7"/>
      <c r="M22" s="7"/>
      <c r="N22" s="7"/>
      <c r="O22" s="7"/>
      <c r="P22" s="7"/>
      <c r="Q22" s="7"/>
    </row>
    <row r="23" spans="1:19" x14ac:dyDescent="0.3">
      <c r="A23" s="1" t="s">
        <v>283</v>
      </c>
      <c r="B23" s="1" t="s">
        <v>103</v>
      </c>
      <c r="C23" s="1">
        <v>10000</v>
      </c>
      <c r="D23" s="1">
        <v>15008390</v>
      </c>
      <c r="E23" s="11">
        <v>2046750.76</v>
      </c>
      <c r="F23" s="1" t="s">
        <v>20</v>
      </c>
      <c r="G23" s="7"/>
      <c r="H23" s="7">
        <v>0.2</v>
      </c>
      <c r="I23" s="7">
        <v>0.8</v>
      </c>
      <c r="J23" s="7"/>
      <c r="K23" s="7"/>
      <c r="L23" s="7"/>
      <c r="M23" s="7"/>
      <c r="N23" s="7"/>
      <c r="O23" s="7"/>
      <c r="P23" s="7"/>
      <c r="Q23" s="7"/>
    </row>
    <row r="24" spans="1:19" x14ac:dyDescent="0.3">
      <c r="A24" s="1" t="s">
        <v>283</v>
      </c>
      <c r="B24" s="1" t="s">
        <v>103</v>
      </c>
      <c r="C24" s="1">
        <v>3500</v>
      </c>
      <c r="D24" s="1">
        <v>15008675</v>
      </c>
      <c r="E24" s="11">
        <v>336500.03</v>
      </c>
      <c r="F24" s="1" t="s">
        <v>20</v>
      </c>
      <c r="G24" s="7"/>
      <c r="H24" s="7">
        <v>0.2</v>
      </c>
      <c r="I24" s="7">
        <v>0.8</v>
      </c>
      <c r="J24" s="7"/>
      <c r="K24" s="7"/>
      <c r="L24" s="7"/>
      <c r="M24" s="7"/>
      <c r="N24" s="7"/>
      <c r="O24" s="7"/>
      <c r="P24" s="7"/>
      <c r="Q24" s="7"/>
    </row>
    <row r="25" spans="1:19" x14ac:dyDescent="0.3">
      <c r="A25" s="1" t="s">
        <v>102</v>
      </c>
      <c r="B25" s="1" t="s">
        <v>103</v>
      </c>
      <c r="C25" s="1">
        <v>4000</v>
      </c>
      <c r="D25" s="1">
        <v>8068371</v>
      </c>
      <c r="E25" s="11">
        <v>3170873.96</v>
      </c>
      <c r="F25" s="1" t="s">
        <v>20</v>
      </c>
      <c r="G25" s="7">
        <v>0.2</v>
      </c>
      <c r="H25" s="7"/>
      <c r="I25" s="7">
        <v>0.8</v>
      </c>
      <c r="J25" s="7"/>
      <c r="K25" s="7"/>
      <c r="L25" s="7"/>
      <c r="M25" s="7"/>
      <c r="N25" s="7"/>
      <c r="O25" s="7"/>
      <c r="P25" s="7"/>
      <c r="Q25" s="7"/>
    </row>
    <row r="26" spans="1:19" x14ac:dyDescent="0.3">
      <c r="A26" s="1" t="s">
        <v>284</v>
      </c>
      <c r="B26" s="1" t="s">
        <v>103</v>
      </c>
      <c r="C26" s="1">
        <v>679</v>
      </c>
      <c r="D26" s="1">
        <v>1253196</v>
      </c>
      <c r="E26" s="11">
        <v>480250.05</v>
      </c>
      <c r="F26" s="1" t="s">
        <v>19</v>
      </c>
      <c r="G26" s="7"/>
      <c r="H26" s="7">
        <v>0.15</v>
      </c>
      <c r="I26" s="7"/>
      <c r="J26" s="7">
        <v>0.45</v>
      </c>
      <c r="K26" s="7"/>
      <c r="L26" s="7"/>
      <c r="M26" s="7">
        <v>0.1</v>
      </c>
      <c r="N26" s="7">
        <v>0.1</v>
      </c>
      <c r="O26" s="7">
        <v>0.2</v>
      </c>
      <c r="P26" s="7"/>
      <c r="Q26" s="7"/>
    </row>
    <row r="27" spans="1:19" x14ac:dyDescent="0.3">
      <c r="A27" s="1" t="s">
        <v>284</v>
      </c>
      <c r="B27" s="1" t="s">
        <v>103</v>
      </c>
      <c r="C27" s="1">
        <v>1155</v>
      </c>
      <c r="D27" s="1">
        <v>2682156</v>
      </c>
      <c r="E27" s="11">
        <v>140567.53</v>
      </c>
      <c r="F27" s="1" t="s">
        <v>19</v>
      </c>
      <c r="G27" s="7"/>
      <c r="H27" s="7">
        <v>0.15</v>
      </c>
      <c r="I27" s="7"/>
      <c r="J27" s="7">
        <v>0.45</v>
      </c>
      <c r="K27" s="7"/>
      <c r="L27" s="7"/>
      <c r="M27" s="7">
        <v>0.1</v>
      </c>
      <c r="N27" s="7">
        <v>0.1</v>
      </c>
      <c r="O27" s="7">
        <v>0.2</v>
      </c>
      <c r="P27" s="7"/>
      <c r="Q27" s="7"/>
    </row>
    <row r="28" spans="1:19" x14ac:dyDescent="0.3">
      <c r="A28" s="1" t="s">
        <v>286</v>
      </c>
      <c r="B28" s="1" t="s">
        <v>103</v>
      </c>
      <c r="C28" s="1">
        <v>1410</v>
      </c>
      <c r="D28" s="1">
        <v>1257380</v>
      </c>
      <c r="E28" s="11">
        <v>358094.86</v>
      </c>
      <c r="F28" s="1" t="s">
        <v>19</v>
      </c>
      <c r="G28" s="7"/>
      <c r="H28" s="7"/>
      <c r="I28" s="7"/>
      <c r="J28" s="7"/>
      <c r="K28" s="7"/>
      <c r="L28" s="7"/>
      <c r="M28" s="7">
        <v>0.5</v>
      </c>
      <c r="N28" s="7"/>
      <c r="O28" s="7"/>
      <c r="P28" s="7">
        <v>0.5</v>
      </c>
      <c r="Q28" s="7"/>
    </row>
    <row r="29" spans="1:19" x14ac:dyDescent="0.3">
      <c r="A29" s="1" t="s">
        <v>286</v>
      </c>
      <c r="B29" s="1" t="s">
        <v>103</v>
      </c>
      <c r="C29" s="1">
        <v>400</v>
      </c>
      <c r="D29" s="1">
        <v>1911356</v>
      </c>
      <c r="E29" s="11">
        <v>292744.74</v>
      </c>
      <c r="F29" s="1" t="s">
        <v>19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>
        <v>0.3</v>
      </c>
      <c r="R29" s="7">
        <v>0.7</v>
      </c>
    </row>
    <row r="30" spans="1:19" x14ac:dyDescent="0.3">
      <c r="A30" s="1" t="s">
        <v>333</v>
      </c>
      <c r="B30" s="1" t="s">
        <v>103</v>
      </c>
      <c r="C30" s="1">
        <v>500</v>
      </c>
      <c r="D30" s="1">
        <v>15188975</v>
      </c>
      <c r="F30" s="1" t="s">
        <v>44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9" x14ac:dyDescent="0.3">
      <c r="A31" s="1" t="s">
        <v>333</v>
      </c>
      <c r="B31" s="1" t="s">
        <v>103</v>
      </c>
      <c r="C31" s="1">
        <v>500</v>
      </c>
      <c r="D31" s="1">
        <v>15189050</v>
      </c>
      <c r="F31" s="1" t="s">
        <v>44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S31" s="12">
        <v>1</v>
      </c>
    </row>
    <row r="32" spans="1:19" x14ac:dyDescent="0.3">
      <c r="A32" s="1" t="s">
        <v>358</v>
      </c>
      <c r="B32" s="1" t="s">
        <v>103</v>
      </c>
      <c r="C32" s="1">
        <v>1500</v>
      </c>
      <c r="D32" s="1">
        <v>15280823</v>
      </c>
      <c r="E32" s="11">
        <v>300330.07</v>
      </c>
      <c r="F32" s="1" t="s">
        <v>44</v>
      </c>
      <c r="S32" s="12">
        <v>1</v>
      </c>
    </row>
    <row r="33" spans="1:19" x14ac:dyDescent="0.3">
      <c r="A33" s="1" t="s">
        <v>78</v>
      </c>
      <c r="B33" s="1" t="s">
        <v>103</v>
      </c>
      <c r="C33" s="1">
        <v>400</v>
      </c>
      <c r="D33" s="1">
        <v>14162243</v>
      </c>
      <c r="E33" s="1">
        <v>7608</v>
      </c>
      <c r="F33" s="1" t="s">
        <v>44</v>
      </c>
      <c r="H33" s="12">
        <v>1</v>
      </c>
    </row>
    <row r="34" spans="1:19" x14ac:dyDescent="0.3">
      <c r="A34" s="1" t="s">
        <v>551</v>
      </c>
      <c r="B34" s="1" t="s">
        <v>103</v>
      </c>
      <c r="C34" s="1">
        <v>1000</v>
      </c>
      <c r="D34" s="1">
        <v>10805765</v>
      </c>
      <c r="E34" s="1">
        <v>23300</v>
      </c>
      <c r="F34" s="1" t="s">
        <v>44</v>
      </c>
      <c r="H34" s="12">
        <v>1</v>
      </c>
    </row>
    <row r="35" spans="1:19" x14ac:dyDescent="0.3">
      <c r="A35" s="1" t="s">
        <v>552</v>
      </c>
      <c r="B35" s="1" t="s">
        <v>103</v>
      </c>
      <c r="C35" s="1">
        <v>50</v>
      </c>
      <c r="D35" s="1">
        <v>8666108</v>
      </c>
      <c r="E35" s="1">
        <v>7701</v>
      </c>
      <c r="F35" s="1" t="s">
        <v>44</v>
      </c>
      <c r="H35" s="12"/>
      <c r="S35" s="12">
        <v>1</v>
      </c>
    </row>
    <row r="36" spans="1:19" x14ac:dyDescent="0.3">
      <c r="H36" s="12"/>
      <c r="S36" s="12"/>
    </row>
    <row r="37" spans="1:19" x14ac:dyDescent="0.3">
      <c r="H37" s="12"/>
    </row>
    <row r="38" spans="1:19" x14ac:dyDescent="0.3">
      <c r="H38" s="12"/>
    </row>
    <row r="39" spans="1:19" x14ac:dyDescent="0.3">
      <c r="H39" s="12"/>
    </row>
    <row r="40" spans="1:19" x14ac:dyDescent="0.3">
      <c r="H40" s="12"/>
    </row>
    <row r="41" spans="1:19" x14ac:dyDescent="0.3">
      <c r="H41" s="12"/>
    </row>
    <row r="42" spans="1:19" x14ac:dyDescent="0.3">
      <c r="A42" s="9"/>
      <c r="B42" s="9" t="s">
        <v>285</v>
      </c>
      <c r="C42" s="1" t="s">
        <v>99</v>
      </c>
    </row>
    <row r="43" spans="1:19" x14ac:dyDescent="0.3">
      <c r="A43" s="10">
        <v>45383</v>
      </c>
      <c r="B43" s="8">
        <v>8756667</v>
      </c>
    </row>
    <row r="44" spans="1:19" x14ac:dyDescent="0.3">
      <c r="A44" s="10">
        <v>45412</v>
      </c>
      <c r="B44" s="8">
        <v>9356416</v>
      </c>
    </row>
    <row r="45" spans="1:19" x14ac:dyDescent="0.3">
      <c r="A45" s="10">
        <v>45414</v>
      </c>
      <c r="B45" s="11">
        <v>9427751.6999999993</v>
      </c>
      <c r="C45" s="11">
        <v>2637850.2999999998</v>
      </c>
    </row>
    <row r="46" spans="1:19" x14ac:dyDescent="0.3">
      <c r="A46" s="10">
        <v>45443</v>
      </c>
      <c r="B46" s="11">
        <v>10015886.5</v>
      </c>
      <c r="C46" s="11">
        <v>2904244.3</v>
      </c>
    </row>
    <row r="47" spans="1:19" x14ac:dyDescent="0.3">
      <c r="A47" s="10">
        <v>45450</v>
      </c>
      <c r="B47" s="11">
        <v>13116944.9</v>
      </c>
      <c r="C47" s="11">
        <v>3667809.7</v>
      </c>
    </row>
    <row r="48" spans="1:19" ht="13.8" customHeight="1" x14ac:dyDescent="0.3">
      <c r="A48" s="10">
        <v>45469</v>
      </c>
      <c r="B48" s="11">
        <v>13657590</v>
      </c>
      <c r="C48" s="11">
        <v>3708209.7</v>
      </c>
    </row>
    <row r="51" ht="19.2" customHeight="1" x14ac:dyDescent="0.3"/>
    <row r="52" ht="19.2" customHeight="1" x14ac:dyDescent="0.3"/>
    <row r="53" ht="18" customHeight="1" x14ac:dyDescent="0.3"/>
    <row r="54" ht="24" customHeight="1" x14ac:dyDescent="0.3"/>
    <row r="58" ht="13.2" customHeight="1" x14ac:dyDescent="0.3"/>
    <row r="60" ht="15" customHeight="1" x14ac:dyDescent="0.3"/>
    <row r="63" ht="15.6" customHeight="1" x14ac:dyDescent="0.3"/>
    <row r="64" ht="22.8" customHeight="1" x14ac:dyDescent="0.3"/>
  </sheetData>
  <sortState xmlns:xlrd2="http://schemas.microsoft.com/office/spreadsheetml/2017/richdata2" ref="A2:F19">
    <sortCondition descending="1" ref="E1:E19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İpek</dc:creator>
  <cp:lastModifiedBy>Sinan İpek</cp:lastModifiedBy>
  <dcterms:created xsi:type="dcterms:W3CDTF">2015-06-05T18:19:34Z</dcterms:created>
  <dcterms:modified xsi:type="dcterms:W3CDTF">2025-12-06T18:13:26Z</dcterms:modified>
</cp:coreProperties>
</file>